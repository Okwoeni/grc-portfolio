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AB34FD9E-633C-4BFA-BEC9-19C4F5AD9E54}" xr6:coauthVersionLast="47" xr6:coauthVersionMax="47" xr10:uidLastSave="{00000000-0000-0000-0000-000000000000}"/>
  <bookViews>
    <workbookView xWindow="240" yWindow="105" windowWidth="14805" windowHeight="8010" firstSheet="3" activeTab="2" xr2:uid="{00000000-000D-0000-FFFF-FFFF00000000}"/>
  </bookViews>
  <sheets>
    <sheet name="ISO Gap Assessment" sheetId="1" r:id="rId1"/>
    <sheet name="Remediation Plan" sheetId="2" r:id="rId2"/>
    <sheet name="Evidence Register" sheetId="3" r:id="rId3"/>
    <sheet name="SoA" sheetId="4" r:id="rId4"/>
    <sheet name="Executive Dashboard" sheetId="5" r:id="rId5"/>
    <sheet name="Methodology" sheetId="6" r:id="rId6"/>
  </sheets>
  <definedNames>
    <definedName name="_xlnm._FilterDatabase" localSheetId="3" hidden="1">SoA!$A$1:$I$1</definedName>
    <definedName name="_xlnm._FilterDatabase" localSheetId="2" hidden="1">'Evidence Register'!$A$1:$K$1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5" l="1"/>
  <c r="M42" i="5"/>
  <c r="I42" i="5"/>
  <c r="E42" i="5"/>
  <c r="A42" i="5"/>
  <c r="Y16" i="5"/>
  <c r="Y15" i="5"/>
  <c r="Y14" i="5"/>
  <c r="Y13" i="5"/>
  <c r="Y12" i="5"/>
  <c r="V14" i="5"/>
  <c r="V13" i="5"/>
  <c r="V12" i="5"/>
  <c r="Q4" i="5"/>
  <c r="M4" i="5"/>
  <c r="I4" i="5"/>
  <c r="E4" i="5"/>
  <c r="F6" i="6"/>
  <c r="F5" i="6"/>
  <c r="F4" i="6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2" i="1"/>
</calcChain>
</file>

<file path=xl/sharedStrings.xml><?xml version="1.0" encoding="utf-8"?>
<sst xmlns="http://schemas.openxmlformats.org/spreadsheetml/2006/main" count="1687" uniqueCount="876">
  <si>
    <t>Reference</t>
  </si>
  <si>
    <t>Requirement / Control</t>
  </si>
  <si>
    <t>Theme</t>
  </si>
  <si>
    <t>Assessment Criteria</t>
  </si>
  <si>
    <t>Implementation Status</t>
  </si>
  <si>
    <t>Evidence Available</t>
  </si>
  <si>
    <t>Gap Identified</t>
  </si>
  <si>
    <t>Recommended Action</t>
  </si>
  <si>
    <t>Control Owner</t>
  </si>
  <si>
    <t>Priority</t>
  </si>
  <si>
    <t>Target Date</t>
  </si>
  <si>
    <t>Notes</t>
  </si>
  <si>
    <t>Readiness Score</t>
  </si>
  <si>
    <t>Understanding the organisation and its context</t>
  </si>
  <si>
    <t>Clause 4 — Context</t>
  </si>
  <si>
    <t>Internal and external issues relevant to the ISMS are identified, documented and periodically reviewed.</t>
  </si>
  <si>
    <t>Partially Implemented</t>
  </si>
  <si>
    <t>Business strategy; technology roadmap</t>
  </si>
  <si>
    <t>Context analysis exists informally but is not maintained as documented ISMS information.</t>
  </si>
  <si>
    <t>Develop and maintain a documented organisational context assessment covering internal and external ISMS issues.</t>
  </si>
  <si>
    <t>Head of Information Security</t>
  </si>
  <si>
    <t>Medium</t>
  </si>
  <si>
    <t>30/11/2026</t>
  </si>
  <si>
    <t>Context should be reviewed following significant organisational or environmental change.</t>
  </si>
  <si>
    <t>Understanding the needs and expectations of interested parties</t>
  </si>
  <si>
    <t>Relevant interested parties and their information security requirements are identified and maintained.</t>
  </si>
  <si>
    <t>Customer contracts; regulatory register; supplier agreements</t>
  </si>
  <si>
    <t>Stakeholders are known but there is no consolidated interested-parties register linked to ISMS requirements.</t>
  </si>
  <si>
    <t>Create an interested-parties register documenting security, legal, regulatory and contractual requirements.</t>
  </si>
  <si>
    <t>Compliance Manager</t>
  </si>
  <si>
    <t>Include customers, employees, regulators, suppliers and shareholders where relevant.</t>
  </si>
  <si>
    <t>Determining the scope of the ISMS</t>
  </si>
  <si>
    <t>The boundaries and applicability of the ISMS are formally defined and maintained as documented information.</t>
  </si>
  <si>
    <t>Not Implemented</t>
  </si>
  <si>
    <t>Organisation chart; network diagrams</t>
  </si>
  <si>
    <t>No formally approved ISMS scope statement exists.</t>
  </si>
  <si>
    <t>Define and approve the ISMS scope including business functions, locations, technology, interfaces and dependencies.</t>
  </si>
  <si>
    <t>High</t>
  </si>
  <si>
    <t>31/10/2026</t>
  </si>
  <si>
    <t>ISMS scope must be established before certification assessment.</t>
  </si>
  <si>
    <t>Information security management system</t>
  </si>
  <si>
    <t>An ISMS is established, implemented, maintained and continually improved.</t>
  </si>
  <si>
    <t>Security policies; risk register</t>
  </si>
  <si>
    <t>Security activities exist but are not fully integrated into a formal ISMS.</t>
  </si>
  <si>
    <t>Establish an ISMS governance framework defining processes, responsibilities, documentation and continual improvement activities.</t>
  </si>
  <si>
    <t>CISO</t>
  </si>
  <si>
    <t>31/12/2026</t>
  </si>
  <si>
    <t>Existing security processes can be incorporated into the ISMS.</t>
  </si>
  <si>
    <t>Leadership and commitment</t>
  </si>
  <si>
    <t>Clause 5 — Leadership</t>
  </si>
  <si>
    <t>Top management demonstrates leadership and commitment to the ISMS.</t>
  </si>
  <si>
    <t>Management meeting minutes; security budget approvals</t>
  </si>
  <si>
    <t>Management supports security activities but formal evidence of ISMS leadership responsibilities is limited.</t>
  </si>
  <si>
    <t>Establish documented executive ISMS sponsorship and include information security performance in management reviews.</t>
  </si>
  <si>
    <t>CEO</t>
  </si>
  <si>
    <t>Leadership evidence should demonstrate active oversight rather than passive approval.</t>
  </si>
  <si>
    <t>Information security policy</t>
  </si>
  <si>
    <t>An appropriate information security policy is established, approved, communicated and available to relevant interested parties.</t>
  </si>
  <si>
    <t>Implemented</t>
  </si>
  <si>
    <t>Information Security Policy; approval record; employee portal</t>
  </si>
  <si>
    <t>No material gap identified.</t>
  </si>
  <si>
    <t>Maintain annual policy review and retain evidence of approval and communication.</t>
  </si>
  <si>
    <t>Low</t>
  </si>
  <si>
    <t>Current policy is approved and communicated.</t>
  </si>
  <si>
    <t>Organisational roles, responsibilities and authorities</t>
  </si>
  <si>
    <t>Information security roles and responsibilities are assigned and communicated.</t>
  </si>
  <si>
    <t>Job descriptions; organisation chart</t>
  </si>
  <si>
    <t>Several security responsibilities are understood operationally but are not formally assigned within the ISMS.</t>
  </si>
  <si>
    <t>Develop an ISMS RACI and formally assign control and process ownership.</t>
  </si>
  <si>
    <t>Align responsibilities with risk and control ownership.</t>
  </si>
  <si>
    <t>Actions to address risks and opportunities</t>
  </si>
  <si>
    <t>Clause 6 — Planning</t>
  </si>
  <si>
    <t>Information security risks and opportunities are addressed through defined planning processes.</t>
  </si>
  <si>
    <t>Enterprise risk register; security risk assessments</t>
  </si>
  <si>
    <t>Risk assessment occurs but the ISO-aligned risk methodology and acceptance criteria are not formally approved.</t>
  </si>
  <si>
    <t>Document and approve the ISMS risk assessment and risk treatment methodology including risk acceptance criteria.</t>
  </si>
  <si>
    <t>Risk Manager</t>
  </si>
  <si>
    <t>Methodology should support repeatable risk assessment.</t>
  </si>
  <si>
    <t>Information security objectives and planning to achieve them</t>
  </si>
  <si>
    <t>Measurable information security objectives are established and monitored.</t>
  </si>
  <si>
    <t>Security KPI reports</t>
  </si>
  <si>
    <t>Security metrics exist but are not formally linked to approved ISMS objectives.</t>
  </si>
  <si>
    <t>Define measurable ISMS objectives, owners, targets, monitoring frequency and reporting arrangements.</t>
  </si>
  <si>
    <t>Objectives should align with business and security priorities.</t>
  </si>
  <si>
    <t>Planning of changes</t>
  </si>
  <si>
    <t>Changes to the ISMS are carried out in a planned manner.</t>
  </si>
  <si>
    <t>Change management procedure</t>
  </si>
  <si>
    <t>Technical change management exists but there is no defined process for planning changes to the ISMS itself.</t>
  </si>
  <si>
    <t>Integrate ISMS changes into governance and change-management processes with impact and resource assessment.</t>
  </si>
  <si>
    <t>ISMS Manager</t>
  </si>
  <si>
    <t>31/01/2027</t>
  </si>
  <si>
    <t>Distinguish ISMS change from routine technical change.</t>
  </si>
  <si>
    <t>Resources</t>
  </si>
  <si>
    <t>Clause 7 — Support</t>
  </si>
  <si>
    <t>Resources required to establish, maintain and improve the ISMS are determined and provided.</t>
  </si>
  <si>
    <t>Security budget; staffing plan</t>
  </si>
  <si>
    <t>Continue annual resource planning and retain evidence of management decisions.</t>
  </si>
  <si>
    <t>Resource requirements should be reconsidered during management review.</t>
  </si>
  <si>
    <t>Competence</t>
  </si>
  <si>
    <t>Personnel performing work affecting information security are competent based on education, training or experience.</t>
  </si>
  <si>
    <t>Training records; job descriptions</t>
  </si>
  <si>
    <t>Training occurs but competency requirements are not consistently mapped to ISMS responsibilities.</t>
  </si>
  <si>
    <t>Create an ISMS competency matrix and retain evidence of training and professional development.</t>
  </si>
  <si>
    <t>HR Manager</t>
  </si>
  <si>
    <t>Include specialist security and control-owner roles.</t>
  </si>
  <si>
    <t>Awareness</t>
  </si>
  <si>
    <t>Personnel are aware of the information security policy, their contribution to the ISMS and consequences of nonconformity.</t>
  </si>
  <si>
    <t>Awareness completion records; phishing simulations</t>
  </si>
  <si>
    <t>Maintain annual awareness programme and role-specific security communications.</t>
  </si>
  <si>
    <t>Security Awareness Lead</t>
  </si>
  <si>
    <t>Track completion and effectiveness metrics.</t>
  </si>
  <si>
    <t>Communication</t>
  </si>
  <si>
    <t>Internal and external communications relevant to the ISMS are determined.</t>
  </si>
  <si>
    <t>Incident communication plan; internal communications</t>
  </si>
  <si>
    <t>Communication activities exist but the required audience, timing, responsibility and method are not consolidated.</t>
  </si>
  <si>
    <t>Develop an ISMS communication matrix covering what, when, with whom and how security matters are communicated.</t>
  </si>
  <si>
    <t>Include regulatory and customer communications where applicable.</t>
  </si>
  <si>
    <t>Documented information</t>
  </si>
  <si>
    <t>ISMS documented information is appropriately created, updated and controlled.</t>
  </si>
  <si>
    <t>Policy repository; document templates</t>
  </si>
  <si>
    <t>Document control is inconsistent across security procedures and evidence repositories.</t>
  </si>
  <si>
    <t>Implement document-control requirements covering approval, versioning, review, access, retention and disposal.</t>
  </si>
  <si>
    <t>Create a central ISMS document register.</t>
  </si>
  <si>
    <t>Operational planning and control</t>
  </si>
  <si>
    <t>Clause 8 — Operation</t>
  </si>
  <si>
    <t>Processes required to meet information security requirements and implement planned actions are controlled.</t>
  </si>
  <si>
    <t>Operational procedures; change records</t>
  </si>
  <si>
    <t>Operational security processes exist but evidence of consistent ISMS control monitoring is incomplete.</t>
  </si>
  <si>
    <t>Define operational control monitoring requirements and retain evidence demonstrating consistent execution.</t>
  </si>
  <si>
    <t>Control owners should provide evidence at defined intervals.</t>
  </si>
  <si>
    <t>Information security risk assessment</t>
  </si>
  <si>
    <t>Risk assessments are performed at planned intervals and when significant changes occur.</t>
  </si>
  <si>
    <t>Risk register; project risk assessments</t>
  </si>
  <si>
    <t>Assessments occur but there is no documented assessment schedule or consistent trigger criteria.</t>
  </si>
  <si>
    <t>Establish an annual risk assessment schedule and defined reassessment triggers.</t>
  </si>
  <si>
    <t>Include major technology, supplier and business changes.</t>
  </si>
  <si>
    <t>Information security risk treatment</t>
  </si>
  <si>
    <t>Risk treatment plans are implemented and retained as documented information.</t>
  </si>
  <si>
    <t>Risk treatment tracker</t>
  </si>
  <si>
    <t>Treatment actions are tracked but formal risk-owner approval and acceptance evidence is inconsistent.</t>
  </si>
  <si>
    <t>Require documented treatment approval, residual-risk acceptance and closure evidence.</t>
  </si>
  <si>
    <t>Ensure treatment decisions are traceable to applicable Annex A controls.</t>
  </si>
  <si>
    <t>Monitoring, measurement, analysis and evaluation</t>
  </si>
  <si>
    <t>Clause 9 — Performance Evaluation</t>
  </si>
  <si>
    <t>The organisation determines what should be monitored and measured to evaluate ISMS performance.</t>
  </si>
  <si>
    <t>Security KPI dashboard</t>
  </si>
  <si>
    <t>Technical metrics exist but there is no complete ISMS measurement framework.</t>
  </si>
  <si>
    <t>Define ISMS KPIs, measurement methods, owners, frequency, targets and reporting requirements.</t>
  </si>
  <si>
    <t>Include effectiveness measures for key controls.</t>
  </si>
  <si>
    <t>Internal audit</t>
  </si>
  <si>
    <t>Internal audits are conducted at planned intervals against organisational and ISO requirements.</t>
  </si>
  <si>
    <t>None</t>
  </si>
  <si>
    <t>No formal ISMS internal audit programme has been established.</t>
  </si>
  <si>
    <t>Develop a risk-based internal audit programme, audit schedule, reporting template and corrective-action process.</t>
  </si>
  <si>
    <t>Internal Audit Manager</t>
  </si>
  <si>
    <t>Critical</t>
  </si>
  <si>
    <t>28/02/2027</t>
  </si>
  <si>
    <t>Internal audit must occur before the certification audit.</t>
  </si>
  <si>
    <t>Management review</t>
  </si>
  <si>
    <t>Top management reviews the ISMS at planned intervals.</t>
  </si>
  <si>
    <t>Formal ISO 27001 management review has not yet occurred.</t>
  </si>
  <si>
    <t>Establish management-review meetings covering required ISMS inputs, decisions and improvement actions.</t>
  </si>
  <si>
    <t>Retain minutes and evidence of decisions and actions.</t>
  </si>
  <si>
    <t>Continual improvement</t>
  </si>
  <si>
    <t>Clause 10 — Improvement</t>
  </si>
  <si>
    <t>The suitability, adequacy and effectiveness of the ISMS are continually improved.</t>
  </si>
  <si>
    <t>Security improvement backlog</t>
  </si>
  <si>
    <t>Improvement activities occur but are not formally linked to ISMS performance and governance.</t>
  </si>
  <si>
    <t>Establish an ISMS continual-improvement register linked to audits, incidents, metrics and management reviews.</t>
  </si>
  <si>
    <t>Improvement opportunities should be tracked through closure.</t>
  </si>
  <si>
    <t>Nonconformity and corrective action</t>
  </si>
  <si>
    <t>Nonconformities are managed through correction, root-cause analysis and corrective action.</t>
  </si>
  <si>
    <t>General issue tracker</t>
  </si>
  <si>
    <t>No formal ISMS nonconformity and corrective-action process exists.</t>
  </si>
  <si>
    <t>Implement a corrective-action procedure covering containment, root cause, action ownership, effectiveness review and closure.</t>
  </si>
  <si>
    <t>Process should support audit findings and control failures.</t>
  </si>
  <si>
    <t>A.5.1</t>
  </si>
  <si>
    <t>Policies for information security</t>
  </si>
  <si>
    <t>A.5 — Organisational</t>
  </si>
  <si>
    <t>Information security policies are defined, approved, communicated and reviewed at planned intervals.</t>
  </si>
  <si>
    <t>Information Security Policy; policy approval record</t>
  </si>
  <si>
    <t>Maintain annual review cycle and retain approval evidence.</t>
  </si>
  <si>
    <t>Policy framework currently operating.</t>
  </si>
  <si>
    <t>A.5.2</t>
  </si>
  <si>
    <t>Information security roles and responsibilities</t>
  </si>
  <si>
    <t>Information security responsibilities are defined and allocated according to organisational needs.</t>
  </si>
  <si>
    <t>Organisation chart; job descriptions</t>
  </si>
  <si>
    <t>Control ownership is not consistently documented across the ISMS.</t>
  </si>
  <si>
    <t>Develop an ISMS RACI and assign formal control owners.</t>
  </si>
  <si>
    <t>Align with Clause 5.3 remediation.</t>
  </si>
  <si>
    <t>A.5.7</t>
  </si>
  <si>
    <t>Threat intelligence</t>
  </si>
  <si>
    <t>Information relating to information security threats is collected and analysed to produce relevant intelligence.</t>
  </si>
  <si>
    <t>Vulnerability alerts; vendor security notifications</t>
  </si>
  <si>
    <t>Threat information is received from several sources but no formal threat-intelligence process exists.</t>
  </si>
  <si>
    <t>Define threat-intelligence sources, analysis responsibilities, escalation criteria and integration with risk management.</t>
  </si>
  <si>
    <t>Security Operations Manager</t>
  </si>
  <si>
    <t>Focus on threats relevant to the SaaS and cloud environment.</t>
  </si>
  <si>
    <t>A.5.9</t>
  </si>
  <si>
    <t>Inventory of information and other associated assets</t>
  </si>
  <si>
    <t>An inventory of information and associated assets is developed and maintained, including ownership.</t>
  </si>
  <si>
    <t>IT asset inventory; CMDB</t>
  </si>
  <si>
    <t>Hardware assets are recorded but SaaS applications and information assets are inconsistently inventoried.</t>
  </si>
  <si>
    <t>Expand the asset inventory to include information assets and SaaS services and assign ownership.</t>
  </si>
  <si>
    <t>IT Operations Manager</t>
  </si>
  <si>
    <t>Asset inventory should support risk assessment and classification.</t>
  </si>
  <si>
    <t>A.5.12</t>
  </si>
  <si>
    <t>Classification of information</t>
  </si>
  <si>
    <t>Information is classified according to security needs and relevant stakeholder requirements.</t>
  </si>
  <si>
    <t>Data handling policy</t>
  </si>
  <si>
    <t>Classification levels exist but are not consistently applied across business information.</t>
  </si>
  <si>
    <t>Implement an organisation-wide classification scheme and provide handling guidance for each classification level.</t>
  </si>
  <si>
    <t>Data Protection Officer</t>
  </si>
  <si>
    <t>Align classification with access and DLP controls.</t>
  </si>
  <si>
    <t>A.5.15</t>
  </si>
  <si>
    <t>Access control</t>
  </si>
  <si>
    <t>Rules for physical and logical access to information and associated assets are established and implemented.</t>
  </si>
  <si>
    <t>Access Control Policy; RBAC standards</t>
  </si>
  <si>
    <t>Continue periodic access-control policy review and monitor implementation.</t>
  </si>
  <si>
    <t>Supporting controls assessed separately.</t>
  </si>
  <si>
    <t>A.5.18</t>
  </si>
  <si>
    <t>Access rights</t>
  </si>
  <si>
    <t>Access rights are provisioned, reviewed, modified and removed according to access-control requirements.</t>
  </si>
  <si>
    <t>Joiner-mover-leaver records; access reviews</t>
  </si>
  <si>
    <t>Access reviews are performed inconsistently across SaaS applications.</t>
  </si>
  <si>
    <t>Establish quarterly access recertification for critical systems and retain review evidence.</t>
  </si>
  <si>
    <t>Prioritise privileged and sensitive-data access.</t>
  </si>
  <si>
    <t>A.5.19</t>
  </si>
  <si>
    <t>Information security in supplier relationships</t>
  </si>
  <si>
    <t>Processes are defined to manage information security risks associated with suppliers.</t>
  </si>
  <si>
    <t>Supplier questionnaire; procurement procedure</t>
  </si>
  <si>
    <t>Security due diligence is not consistently risk-tiered according to supplier criticality.</t>
  </si>
  <si>
    <t>Introduce supplier risk classification and proportionate security due diligence requirements.</t>
  </si>
  <si>
    <t>Third-Party Risk Manager</t>
  </si>
  <si>
    <t>Critical suppliers should receive enhanced assessment.</t>
  </si>
  <si>
    <t>A.5.20</t>
  </si>
  <si>
    <t>Addressing information security within supplier agreements</t>
  </si>
  <si>
    <t>Relevant information security requirements are established and agreed with suppliers.</t>
  </si>
  <si>
    <t>Supplier contracts; security clauses</t>
  </si>
  <si>
    <t>Security clauses vary between contracts and minimum requirements are not standardised.</t>
  </si>
  <si>
    <t>Develop standard contractual security requirements covering incidents, data protection, access, audit and termination.</t>
  </si>
  <si>
    <t>Legal &amp; Compliance Manager</t>
  </si>
  <si>
    <t>Apply requirements according to supplier risk.</t>
  </si>
  <si>
    <t>A.5.23</t>
  </si>
  <si>
    <t>Information security for use of cloud services</t>
  </si>
  <si>
    <t>Processes for acquisition, use, management and exit from cloud services are established.</t>
  </si>
  <si>
    <t>Cloud architecture standards; AWS procedures</t>
  </si>
  <si>
    <t>Cloud security responsibilities are documented technically but lifecycle governance and exit requirements are incomplete.</t>
  </si>
  <si>
    <t>Develop a cloud security governance standard covering acquisition, shared responsibility, monitoring and exit.</t>
  </si>
  <si>
    <t>Cloud Security Lead</t>
  </si>
  <si>
    <t>Include SaaS and infrastructure cloud services.</t>
  </si>
  <si>
    <t>A.5.24</t>
  </si>
  <si>
    <t>Information security incident management planning and preparation</t>
  </si>
  <si>
    <t>Incident-management processes, roles and responsibilities are established and communicated.</t>
  </si>
  <si>
    <t>Incident Response Plan; escalation contacts</t>
  </si>
  <si>
    <t>Continue annual review and exercise the incident response plan.</t>
  </si>
  <si>
    <t>Evidence of exercises should be retained.</t>
  </si>
  <si>
    <t>A.5.29</t>
  </si>
  <si>
    <t>Information security during disruption</t>
  </si>
  <si>
    <t>Information security is maintained at an appropriate level during disruption.</t>
  </si>
  <si>
    <t>Business Continuity Plan; disaster recovery procedures</t>
  </si>
  <si>
    <t>Security requirements during business disruption are not explicitly defined within continuity plans.</t>
  </si>
  <si>
    <t>Integrate minimum information-security requirements into business continuity and disaster recovery procedures.</t>
  </si>
  <si>
    <t>Business Continuity Manager</t>
  </si>
  <si>
    <t>Consider emergency access and reduced operating modes.</t>
  </si>
  <si>
    <t>A.5.30</t>
  </si>
  <si>
    <t>ICT readiness for business continuity</t>
  </si>
  <si>
    <t>ICT readiness is planned, implemented, maintained and tested based on business continuity objectives.</t>
  </si>
  <si>
    <t>Disaster Recovery Plan; backup procedures</t>
  </si>
  <si>
    <t>Recovery procedures exist but restoration and failover testing is not performed consistently.</t>
  </si>
  <si>
    <t>Establish scheduled recovery and failover tests and retain results against defined recovery objectives.</t>
  </si>
  <si>
    <t>Infrastructure Manager</t>
  </si>
  <si>
    <t>Testing should demonstrate recovery capability.</t>
  </si>
  <si>
    <t>A.5.31</t>
  </si>
  <si>
    <t>Legal, statutory, regulatory and contractual requirements</t>
  </si>
  <si>
    <t>Applicable information security requirements are identified, documented and kept current.</t>
  </si>
  <si>
    <t>Regulatory register; customer contracts</t>
  </si>
  <si>
    <t>Requirements are tracked across separate teams with no consolidated information-security obligations register.</t>
  </si>
  <si>
    <t>Create and maintain a central legal, regulatory and contractual requirements register.</t>
  </si>
  <si>
    <t>Link applicable obligations to policies and controls.</t>
  </si>
  <si>
    <t>A.5.35</t>
  </si>
  <si>
    <t>Independent review of information security</t>
  </si>
  <si>
    <t>The organisation's approach to information security is independently reviewed at planned intervals.</t>
  </si>
  <si>
    <t>No independent ISMS review has been performed.</t>
  </si>
  <si>
    <t>Establish an independent information-security review programme and document findings and corrective actions.</t>
  </si>
  <si>
    <t>Coordinate with the internal audit programme.</t>
  </si>
  <si>
    <t>A.6.1</t>
  </si>
  <si>
    <t>Screening</t>
  </si>
  <si>
    <t>A.6 — People</t>
  </si>
  <si>
    <t>Background verification checks are performed prior to employment where appropriate and legally permitted.</t>
  </si>
  <si>
    <t>HR screening procedure; screening records</t>
  </si>
  <si>
    <t>Maintain screening requirements and periodically review role-based screening criteria.</t>
  </si>
  <si>
    <t>Apply proportionately according to role and legal requirements.</t>
  </si>
  <si>
    <t>A.6.3</t>
  </si>
  <si>
    <t>Information security awareness, education and training</t>
  </si>
  <si>
    <t>Personnel receive appropriate information security awareness, education and training.</t>
  </si>
  <si>
    <t>Training records; phishing simulation reports</t>
  </si>
  <si>
    <t>Continue annual training and targeted role-based awareness.</t>
  </si>
  <si>
    <t>Use effectiveness metrics to improve the programme.</t>
  </si>
  <si>
    <t>A.6.5</t>
  </si>
  <si>
    <t>Responsibilities after termination or change of employment</t>
  </si>
  <si>
    <t>Information security responsibilities remaining after termination or role change are defined and enforced.</t>
  </si>
  <si>
    <t>HR offboarding checklist; employment contracts</t>
  </si>
  <si>
    <t>Offboarding exists but confirmation of access removal is not consistently retained.</t>
  </si>
  <si>
    <t>Require documented confirmation of access revocation and continuing confidentiality obligations.</t>
  </si>
  <si>
    <t>Integrate with joiner-mover-leaver controls.</t>
  </si>
  <si>
    <t>A.6.7</t>
  </si>
  <si>
    <t>Remote working</t>
  </si>
  <si>
    <t>Security measures are implemented to protect information accessed or processed through remote working.</t>
  </si>
  <si>
    <t>Remote Working Policy; VPN; endpoint controls</t>
  </si>
  <si>
    <t>Continue monitoring remote-access controls and review the policy annually.</t>
  </si>
  <si>
    <t>Device compliance should remain enforced.</t>
  </si>
  <si>
    <t>A.6.8</t>
  </si>
  <si>
    <t>Information security event reporting</t>
  </si>
  <si>
    <t>Personnel are provided with mechanisms to report observed or suspected information security events promptly.</t>
  </si>
  <si>
    <t>Incident reporting procedure; service desk</t>
  </si>
  <si>
    <t>Maintain awareness of reporting channels and monitor reporting effectiveness.</t>
  </si>
  <si>
    <t>Include reporting expectations in awareness training.</t>
  </si>
  <si>
    <t>A.7.1</t>
  </si>
  <si>
    <t>Physical security perimeters</t>
  </si>
  <si>
    <t>A.7 — Physical</t>
  </si>
  <si>
    <t>Security perimeters are defined and used to protect areas containing information and associated assets.</t>
  </si>
  <si>
    <t>Office access controls; visitor procedures</t>
  </si>
  <si>
    <t>Continue periodic physical-security reviews.</t>
  </si>
  <si>
    <t>Facilities Manager</t>
  </si>
  <si>
    <t>Cloud hosting reduces reliance on internal data-centre facilities.</t>
  </si>
  <si>
    <t>A.7.2</t>
  </si>
  <si>
    <t>Physical entry</t>
  </si>
  <si>
    <t>Secure areas are protected through appropriate entry controls and access points.</t>
  </si>
  <si>
    <t>Badge access system; visitor log</t>
  </si>
  <si>
    <t>Continue access-log review and promptly revoke obsolete badges.</t>
  </si>
  <si>
    <t>Review physical access periodically.</t>
  </si>
  <si>
    <t>A.7.4</t>
  </si>
  <si>
    <t>Physical security monitoring</t>
  </si>
  <si>
    <t>Premises are continuously monitored for unauthorised physical access.</t>
  </si>
  <si>
    <t>CCTV; building access logs</t>
  </si>
  <si>
    <t>CCTV coverage exists but formal review and retention requirements are not documented.</t>
  </si>
  <si>
    <t>Document CCTV monitoring, review, retention and access requirements.</t>
  </si>
  <si>
    <t>Ensure privacy requirements are considered.</t>
  </si>
  <si>
    <t>A.7.7</t>
  </si>
  <si>
    <t>Clear desk and clear screen</t>
  </si>
  <si>
    <t>Clear desk and clear screen requirements are defined and appropriately enforced.</t>
  </si>
  <si>
    <t>Employee handbook; screen-lock configuration</t>
  </si>
  <si>
    <t>Clear-screen controls exist technically but clear-desk expectations are not consistently communicated or monitored.</t>
  </si>
  <si>
    <t>Formalise clear-desk requirements and reinforce them through awareness communications.</t>
  </si>
  <si>
    <t>Focus on areas where sensitive information may be visible.</t>
  </si>
  <si>
    <t>A.8.2</t>
  </si>
  <si>
    <t>Privileged access rights</t>
  </si>
  <si>
    <t>A.8 — Technological</t>
  </si>
  <si>
    <t>Allocation and use of privileged access rights are restricted and appropriately managed.</t>
  </si>
  <si>
    <t>MFA; administrator account inventory</t>
  </si>
  <si>
    <t>Privileged accounts are identified but formal periodic recertification and time-limited access are not consistently implemented.</t>
  </si>
  <si>
    <t>Implement privileged access management and quarterly privileged-access reviews.</t>
  </si>
  <si>
    <t>High-impact remediation area.</t>
  </si>
  <si>
    <t>A.8.5</t>
  </si>
  <si>
    <t>Secure authentication</t>
  </si>
  <si>
    <t>Secure authentication technologies and procedures are implemented based on access restrictions.</t>
  </si>
  <si>
    <t>MFA; password standard</t>
  </si>
  <si>
    <t>MFA is not consistently enforced across all business applications and legacy services.</t>
  </si>
  <si>
    <t>Enforce MFA across supported services and implement stronger authentication for privileged access.</t>
  </si>
  <si>
    <t>Identity &amp; Access Manager</t>
  </si>
  <si>
    <t>Prioritise internet-facing and privileged services.</t>
  </si>
  <si>
    <t>A.8.7</t>
  </si>
  <si>
    <t>Protection against malware</t>
  </si>
  <si>
    <t>Protection against malware is implemented and supported by appropriate user awareness.</t>
  </si>
  <si>
    <t>EDR; email filtering; security awareness</t>
  </si>
  <si>
    <t>Continue EDR monitoring, tuning and malware-awareness activities.</t>
  </si>
  <si>
    <t>Monitor endpoint coverage.</t>
  </si>
  <si>
    <t>A.8.8</t>
  </si>
  <si>
    <t>Management of technical vulnerabilities</t>
  </si>
  <si>
    <t>Information about technical vulnerabilities is obtained, exposure is evaluated and appropriate measures are taken.</t>
  </si>
  <si>
    <t>Vulnerability scans; patch reports</t>
  </si>
  <si>
    <t>Vulnerability remediation targets are informal and overdue vulnerabilities are not consistently escalated.</t>
  </si>
  <si>
    <t>Define risk-based remediation SLAs and escalation requirements for overdue vulnerabilities.</t>
  </si>
  <si>
    <t>Vulnerability Management Lead</t>
  </si>
  <si>
    <t>Prioritise internet-facing and Critical vulnerabilities.</t>
  </si>
  <si>
    <t>A.8.9</t>
  </si>
  <si>
    <t>Configuration management</t>
  </si>
  <si>
    <t>Configurations of hardware, software, services and networks are established, documented and monitored.</t>
  </si>
  <si>
    <t>Cloud configuration standards; endpoint baselines</t>
  </si>
  <si>
    <t>Configuration baselines exist for some technologies but are not centrally governed or continuously monitored.</t>
  </si>
  <si>
    <t>Establish approved secure configuration baselines and automated compliance monitoring.</t>
  </si>
  <si>
    <t>Include cloud and endpoint environments.</t>
  </si>
  <si>
    <t>A.8.13</t>
  </si>
  <si>
    <t>Information backup</t>
  </si>
  <si>
    <t>Backup copies are maintained and regularly tested according to agreed backup requirements.</t>
  </si>
  <si>
    <t>Backup logs; backup procedures</t>
  </si>
  <si>
    <t>Backups are performed but restoration testing is inconsistent.</t>
  </si>
  <si>
    <t>Establish quarterly restoration testing and retain evidence of successful recovery.</t>
  </si>
  <si>
    <t>Align tests with recovery objectives.</t>
  </si>
  <si>
    <t>A.8.15</t>
  </si>
  <si>
    <t>Logging</t>
  </si>
  <si>
    <t>Logs recording activities, exceptions, faults and relevant security events are produced, stored, protected and analysed.</t>
  </si>
  <si>
    <t>SIEM; cloud audit logs</t>
  </si>
  <si>
    <t>Logging exists across critical platforms but retention and monitoring requirements are not consistently defined.</t>
  </si>
  <si>
    <t>Develop a central logging standard defining required events, retention, protection and monitoring.</t>
  </si>
  <si>
    <t>Include cloud, identity and application logs.</t>
  </si>
  <si>
    <t>A.8.16</t>
  </si>
  <si>
    <t>Monitoring activities</t>
  </si>
  <si>
    <t>Networks, systems and applications are monitored for anomalous behaviour and potential security incidents.</t>
  </si>
  <si>
    <t>SIEM alerts; EDR monitoring</t>
  </si>
  <si>
    <t>Monitoring coverage is strong for endpoints but incomplete across SaaS applications and cloud services.</t>
  </si>
  <si>
    <t>Expand monitoring coverage and establish documented alert-review and escalation requirements.</t>
  </si>
  <si>
    <t>Prioritise critical cloud and SaaS services.</t>
  </si>
  <si>
    <t>A.8.20</t>
  </si>
  <si>
    <t>Networks security</t>
  </si>
  <si>
    <t>Networks and network devices are secured, managed and controlled to protect information.</t>
  </si>
  <si>
    <t>Firewall standards; network diagrams; security groups</t>
  </si>
  <si>
    <t>Maintain network-security standards and periodic configuration reviews.</t>
  </si>
  <si>
    <t>Network Security Lead</t>
  </si>
  <si>
    <t>Review changes through change-management processes.</t>
  </si>
  <si>
    <t>A.8.24</t>
  </si>
  <si>
    <t>Use of cryptography</t>
  </si>
  <si>
    <t>Rules for the effective use of cryptography and key management are defined and implemented.</t>
  </si>
  <si>
    <t>Encryption standards; cloud KMS</t>
  </si>
  <si>
    <t>Cryptography is widely implemented but key-management responsibilities and lifecycle requirements are not consolidated.</t>
  </si>
  <si>
    <t>Develop a cryptographic standard covering approved algorithms, key ownership, storage, rotation and retirement.</t>
  </si>
  <si>
    <t>Include cloud-managed encryption keys.</t>
  </si>
  <si>
    <t>A.8.25</t>
  </si>
  <si>
    <t>Secure development life cycle</t>
  </si>
  <si>
    <t>Rules for secure development of software and systems are established and applied.</t>
  </si>
  <si>
    <t>SDLC procedure; code review process</t>
  </si>
  <si>
    <t>Security activities occur during development but security gates are not consistently defined across the lifecycle.</t>
  </si>
  <si>
    <t>Define secure SDLC requirements including security requirements, testing, approval gates and release criteria.</t>
  </si>
  <si>
    <t>Engineering Manager</t>
  </si>
  <si>
    <t>Integrate security requirements into development workflows.</t>
  </si>
  <si>
    <t>A.8.28</t>
  </si>
  <si>
    <t>Secure coding</t>
  </si>
  <si>
    <t>Secure coding principles are applied to software development.</t>
  </si>
  <si>
    <t>Code review guidelines; developer training</t>
  </si>
  <si>
    <t>Secure coding guidance exists but training and compliance evidence are inconsistent.</t>
  </si>
  <si>
    <t>Establish formal secure-coding standards, annual developer training and compliance checks.</t>
  </si>
  <si>
    <t>Application Security Lead</t>
  </si>
  <si>
    <t>Align with common application-security weaknesses.</t>
  </si>
  <si>
    <t>Remediation ID</t>
  </si>
  <si>
    <t>ISO Reference</t>
  </si>
  <si>
    <t>Gap / Finding</t>
  </si>
  <si>
    <t>Remediation Action</t>
  </si>
  <si>
    <t>Action Owner</t>
  </si>
  <si>
    <t>Status</t>
  </si>
  <si>
    <t>Progress %</t>
  </si>
  <si>
    <t>Evidence Required</t>
  </si>
  <si>
    <t>Management Notes</t>
  </si>
  <si>
    <t>REM-001</t>
  </si>
  <si>
    <t>Define and approve the ISMS scope covering business functions, locations, technologies, interfaces and dependencies.</t>
  </si>
  <si>
    <t>In Progress</t>
  </si>
  <si>
    <t>Approved ISMS Scope Statement</t>
  </si>
  <si>
    <t>Scope workshop completed; management approval pending.</t>
  </si>
  <si>
    <t>REM-002</t>
  </si>
  <si>
    <t>Security activities are not fully integrated into a formal ISMS.</t>
  </si>
  <si>
    <t>Establish an ISMS governance framework defining processes, responsibilities, documentation and continual improvement.</t>
  </si>
  <si>
    <t>ISMS Governance Framework; governance meeting records</t>
  </si>
  <si>
    <t>Core governance structure drafted.</t>
  </si>
  <si>
    <t>REM-003</t>
  </si>
  <si>
    <t>Formal evidence of executive ISMS leadership and oversight is limited.</t>
  </si>
  <si>
    <t>Establish executive ISMS sponsorship and incorporate security performance into management governance.</t>
  </si>
  <si>
    <t>Executive sponsorship record; meeting minutes</t>
  </si>
  <si>
    <t>Executive sponsor identified.</t>
  </si>
  <si>
    <t>REM-004</t>
  </si>
  <si>
    <t>ISO-aligned risk methodology and risk acceptance criteria are not formally approved.</t>
  </si>
  <si>
    <t>Document and approve the ISMS risk assessment and treatment methodology including acceptance criteria.</t>
  </si>
  <si>
    <t>Approved Risk Assessment Methodology</t>
  </si>
  <si>
    <t>Draft methodology under review.</t>
  </si>
  <si>
    <t>REM-005</t>
  </si>
  <si>
    <t>Document control is inconsistent across ISMS procedures and evidence.</t>
  </si>
  <si>
    <t>Document Control Procedure; ISMS Document Register</t>
  </si>
  <si>
    <t>Document register being developed.</t>
  </si>
  <si>
    <t>REM-006</t>
  </si>
  <si>
    <t>Evidence of consistent operational ISMS control monitoring is incomplete.</t>
  </si>
  <si>
    <t>Define control-monitoring requirements and evidence-retention expectations for control owners.</t>
  </si>
  <si>
    <t>Not Started</t>
  </si>
  <si>
    <t>Control Monitoring Schedule; control evidence</t>
  </si>
  <si>
    <t>Dependent on completion of control ownership mapping.</t>
  </si>
  <si>
    <t>REM-007</t>
  </si>
  <si>
    <t>No documented risk assessment schedule or consistent reassessment triggers exist.</t>
  </si>
  <si>
    <t>Establish an annual ISMS risk assessment schedule and defined reassessment triggers.</t>
  </si>
  <si>
    <t>Risk Assessment Schedule; reassessment criteria</t>
  </si>
  <si>
    <t>Schedule structure drafted.</t>
  </si>
  <si>
    <t>REM-008</t>
  </si>
  <si>
    <t>Risk treatment approval and residual-risk acceptance evidence is inconsistent.</t>
  </si>
  <si>
    <t>Implement documented treatment approval, residual-risk acceptance and closure requirements.</t>
  </si>
  <si>
    <t>Risk acceptance records; treatment approvals</t>
  </si>
  <si>
    <t>New approval workflow required.</t>
  </si>
  <si>
    <t>REM-009</t>
  </si>
  <si>
    <t>Develop and execute a risk-based ISMS internal audit programme before certification.</t>
  </si>
  <si>
    <t>Internal Audit Programme; audit reports; corrective actions</t>
  </si>
  <si>
    <t>Critical certification-readiness dependency.</t>
  </si>
  <si>
    <t>REM-010</t>
  </si>
  <si>
    <t>Establish and conduct management review covering required ISMS inputs, decisions and improvement actions.</t>
  </si>
  <si>
    <t>Management Review Agenda; minutes; action log</t>
  </si>
  <si>
    <t>Must be completed and evidenced before certification audit.</t>
  </si>
  <si>
    <t>REM-011</t>
  </si>
  <si>
    <t>Implement a corrective-action process covering root cause, ownership, effectiveness review and closure.</t>
  </si>
  <si>
    <t>Corrective Action Procedure; CAPA register</t>
  </si>
  <si>
    <t>Process required to support audit findings.</t>
  </si>
  <si>
    <t>REM-012</t>
  </si>
  <si>
    <t>Asset inventory does not consistently include SaaS applications and information assets.</t>
  </si>
  <si>
    <t>Updated Asset Register; ownership records</t>
  </si>
  <si>
    <t>SaaS discovery exercise underway.</t>
  </si>
  <si>
    <t>REM-013</t>
  </si>
  <si>
    <t>Information classification requirements are not consistently applied.</t>
  </si>
  <si>
    <t>Implement an organisation-wide classification scheme and handling requirements.</t>
  </si>
  <si>
    <t>Classification Standard; handling guidance</t>
  </si>
  <si>
    <t>Classification levels agreed; rollout pending.</t>
  </si>
  <si>
    <t>REM-014</t>
  </si>
  <si>
    <t>Access recertification is inconsistent across SaaS applications.</t>
  </si>
  <si>
    <t>Establish quarterly access recertification for critical systems and retain evidence.</t>
  </si>
  <si>
    <t>Access Review Records; recertification reports</t>
  </si>
  <si>
    <t>Critical applications identified.</t>
  </si>
  <si>
    <t>REM-015</t>
  </si>
  <si>
    <t>Supplier security due diligence is not consistently risk-tiered.</t>
  </si>
  <si>
    <t>Introduce supplier risk classification and proportionate security assessment requirements.</t>
  </si>
  <si>
    <t>Supplier Risk Methodology; assessment records</t>
  </si>
  <si>
    <t>Supplier tiers being defined.</t>
  </si>
  <si>
    <t>REM-016</t>
  </si>
  <si>
    <t>Cloud lifecycle governance and exit requirements are incomplete.</t>
  </si>
  <si>
    <t>Cloud Security Standard; cloud service register</t>
  </si>
  <si>
    <t>Shared-responsibility requirements being documented.</t>
  </si>
  <si>
    <t>REM-017</t>
  </si>
  <si>
    <t>Establish an independent information-security review programme and track corrective actions.</t>
  </si>
  <si>
    <t>Independent Review Report; corrective-action records</t>
  </si>
  <si>
    <t>Coordinate with the ISMS internal audit programme.</t>
  </si>
  <si>
    <t>REM-018</t>
  </si>
  <si>
    <t>Privileged access recertification and time-limited access are not consistently implemented.</t>
  </si>
  <si>
    <t>PAM configuration; privileged access review records</t>
  </si>
  <si>
    <t>PAM solution requirements defined.</t>
  </si>
  <si>
    <t>REM-019</t>
  </si>
  <si>
    <t>Expand MFA coverage and strengthen authentication for privileged and internet-facing services.</t>
  </si>
  <si>
    <t>MFA coverage report; authentication standard</t>
  </si>
  <si>
    <t>Legacy applications remain outstanding.</t>
  </si>
  <si>
    <t>REM-020</t>
  </si>
  <si>
    <t>Vulnerability Management Standard; SLA reports</t>
  </si>
  <si>
    <t>Draft remediation SLAs prepared.</t>
  </si>
  <si>
    <t>REM-021</t>
  </si>
  <si>
    <t>Secure configuration baselines are not centrally governed or continuously monitored.</t>
  </si>
  <si>
    <t>Secure Configuration Standards; compliance reports</t>
  </si>
  <si>
    <t>Initial AWS baseline under development.</t>
  </si>
  <si>
    <t>REM-022</t>
  </si>
  <si>
    <t>Backup restoration testing is inconsistent.</t>
  </si>
  <si>
    <t>Restoration Test Reports; recovery results</t>
  </si>
  <si>
    <t>Next restoration exercise scheduled.</t>
  </si>
  <si>
    <t>REM-023</t>
  </si>
  <si>
    <t>Log retention and monitoring requirements are not consistently defined.</t>
  </si>
  <si>
    <t>Logging Standard; SIEM configuration evidence</t>
  </si>
  <si>
    <t>Current log sources being inventoried.</t>
  </si>
  <si>
    <t>REM-024</t>
  </si>
  <si>
    <t>Monitoring coverage is incomplete across SaaS applications and cloud services.</t>
  </si>
  <si>
    <t>Expand security monitoring coverage and formalise alert review and escalation requirements.</t>
  </si>
  <si>
    <t>Monitoring Coverage Matrix; alert procedures</t>
  </si>
  <si>
    <t>Priority SaaS integrations identified.</t>
  </si>
  <si>
    <t>REM-025</t>
  </si>
  <si>
    <t>Security gates are not consistently defined across the software development lifecycle.</t>
  </si>
  <si>
    <t>Define secure SDLC requirements including security testing, approval gates and release criteria.</t>
  </si>
  <si>
    <t>Secure SDLC Standard; pipeline evidence</t>
  </si>
  <si>
    <t>Engineering and security workshops underway.</t>
  </si>
  <si>
    <t>Evidence ID</t>
  </si>
  <si>
    <t>Evidence / Document</t>
  </si>
  <si>
    <t>Evidence Type</t>
  </si>
  <si>
    <t>Document Owner</t>
  </si>
  <si>
    <t>Review Frequency</t>
  </si>
  <si>
    <t>Last Reviewed</t>
  </si>
  <si>
    <t>Next Review</t>
  </si>
  <si>
    <t>Evidence Status</t>
  </si>
  <si>
    <t>Storage Location</t>
  </si>
  <si>
    <t>EVD-001</t>
  </si>
  <si>
    <t>ISMS Scope Statement</t>
  </si>
  <si>
    <t>Governance Document</t>
  </si>
  <si>
    <t>Annual</t>
  </si>
  <si>
    <t>Required</t>
  </si>
  <si>
    <t>ISMS / Governance</t>
  </si>
  <si>
    <t>Currently being developed as part of remediation.</t>
  </si>
  <si>
    <t>EVD-002</t>
  </si>
  <si>
    <t>ISMS Governance Framework</t>
  </si>
  <si>
    <t>Formal ISMS governance structure not yet approved.</t>
  </si>
  <si>
    <t>EVD-003</t>
  </si>
  <si>
    <t>Information Security Policy</t>
  </si>
  <si>
    <t>Policy</t>
  </si>
  <si>
    <t>15/06/2026</t>
  </si>
  <si>
    <t>15/06/2027</t>
  </si>
  <si>
    <t>Available</t>
  </si>
  <si>
    <t>ISMS / Policies</t>
  </si>
  <si>
    <t>Approved and communicated to employees.</t>
  </si>
  <si>
    <t>EVD-004</t>
  </si>
  <si>
    <t>ISMS RACI Matrix</t>
  </si>
  <si>
    <t>Required to formalise ISMS responsibilities.</t>
  </si>
  <si>
    <t>EVD-005</t>
  </si>
  <si>
    <t>ISMS Risk Assessment Methodology</t>
  </si>
  <si>
    <t>Risk Document</t>
  </si>
  <si>
    <t>In Development</t>
  </si>
  <si>
    <t>ISMS / Risk Management</t>
  </si>
  <si>
    <t>Draft methodology currently under review.</t>
  </si>
  <si>
    <t>EVD-006</t>
  </si>
  <si>
    <t>Information Security Objectives &amp; KPI Register</t>
  </si>
  <si>
    <t>Performance Record</t>
  </si>
  <si>
    <t>Quarterly</t>
  </si>
  <si>
    <t>ISMS / Performance</t>
  </si>
  <si>
    <t>Security metrics exist but require formal linkage to ISMS objectives.</t>
  </si>
  <si>
    <t>EVD-007</t>
  </si>
  <si>
    <t>ISMS Competency Matrix</t>
  </si>
  <si>
    <t>HR Record</t>
  </si>
  <si>
    <t>ISMS / Competence</t>
  </si>
  <si>
    <t>Competency requirements need mapping to ISMS roles.</t>
  </si>
  <si>
    <t>EVD-008</t>
  </si>
  <si>
    <t>Security Awareness Training Records</t>
  </si>
  <si>
    <t>Training Record</t>
  </si>
  <si>
    <t>30/06/2026</t>
  </si>
  <si>
    <t>30/06/2027</t>
  </si>
  <si>
    <t>ISMS / Training</t>
  </si>
  <si>
    <t>Includes completion records and phishing simulations.</t>
  </si>
  <si>
    <t>EVD-009</t>
  </si>
  <si>
    <t>Document Control Procedure</t>
  </si>
  <si>
    <t>Procedure</t>
  </si>
  <si>
    <t>ISMS / Document Control</t>
  </si>
  <si>
    <t>Document approval and version-control requirements being established.</t>
  </si>
  <si>
    <t>EVD-010</t>
  </si>
  <si>
    <t>ISMS Risk Assessment Schedule</t>
  </si>
  <si>
    <t>Risk Record</t>
  </si>
  <si>
    <t>Will define planned and event-driven reassessments.</t>
  </si>
  <si>
    <t>EVD-011</t>
  </si>
  <si>
    <t>Risk Treatment &amp; Acceptance Records</t>
  </si>
  <si>
    <t>Formal approval and acceptance evidence currently inconsistent.</t>
  </si>
  <si>
    <t>EVD-012</t>
  </si>
  <si>
    <t>ISMS KPI Dashboard</t>
  </si>
  <si>
    <t>Monthly</t>
  </si>
  <si>
    <t>31/08/2026</t>
  </si>
  <si>
    <t>30/09/2026</t>
  </si>
  <si>
    <t>Existing dashboard requires additional ISMS effectiveness metrics.</t>
  </si>
  <si>
    <t>EVD-013</t>
  </si>
  <si>
    <t>Internal Audit Programme</t>
  </si>
  <si>
    <t>Audit Record</t>
  </si>
  <si>
    <t>ISMS / Internal Audit</t>
  </si>
  <si>
    <t>Formal ISMS audit programme not yet established.</t>
  </si>
  <si>
    <t>EVD-014</t>
  </si>
  <si>
    <t>Internal Audit Report</t>
  </si>
  <si>
    <t>To be generated following first internal ISMS audit.</t>
  </si>
  <si>
    <t>EVD-015</t>
  </si>
  <si>
    <t>Management Review Minutes</t>
  </si>
  <si>
    <t>Management Record</t>
  </si>
  <si>
    <t>ISMS / Management Review</t>
  </si>
  <si>
    <t>First formal ISO 27001 management review pending.</t>
  </si>
  <si>
    <t>EVD-016</t>
  </si>
  <si>
    <t>Corrective Action Register</t>
  </si>
  <si>
    <t>Improvement Record</t>
  </si>
  <si>
    <t>ISMS / Improvement</t>
  </si>
  <si>
    <t>Will record nonconformities, root causes and corrective actions.</t>
  </si>
  <si>
    <t>EVD-017</t>
  </si>
  <si>
    <t>Asset Register</t>
  </si>
  <si>
    <t>Operational Record</t>
  </si>
  <si>
    <t>Partial</t>
  </si>
  <si>
    <t>ISMS / Asset Management</t>
  </si>
  <si>
    <t>SaaS and information assets require additional coverage.</t>
  </si>
  <si>
    <t>EVD-018</t>
  </si>
  <si>
    <t>Information Classification Standard</t>
  </si>
  <si>
    <t>Standard</t>
  </si>
  <si>
    <t>ISMS / Data Protection</t>
  </si>
  <si>
    <t>Classification levels agreed; implementation pending.</t>
  </si>
  <si>
    <t>EVD-019</t>
  </si>
  <si>
    <t>Access Recertification Records</t>
  </si>
  <si>
    <t>Access Record</t>
  </si>
  <si>
    <t>ISMS / Access Control</t>
  </si>
  <si>
    <t>Review evidence inconsistent across SaaS applications.</t>
  </si>
  <si>
    <t>EVD-020</t>
  </si>
  <si>
    <t>Supplier Security Assessment Records</t>
  </si>
  <si>
    <t>Third-Party Record</t>
  </si>
  <si>
    <t>ISMS / Third-Party Risk</t>
  </si>
  <si>
    <t>Current assessments are not consistently risk-tiered.</t>
  </si>
  <si>
    <t>EVD-021</t>
  </si>
  <si>
    <t>Cloud Security Governance Standard</t>
  </si>
  <si>
    <t>ISMS / Cloud Security</t>
  </si>
  <si>
    <t>Lifecycle and exit requirements being added.</t>
  </si>
  <si>
    <t>EVD-022</t>
  </si>
  <si>
    <t>Incident Response Plan</t>
  </si>
  <si>
    <t>20/05/2026</t>
  </si>
  <si>
    <t>20/05/2027</t>
  </si>
  <si>
    <t>ISMS / Incident Management</t>
  </si>
  <si>
    <t>Approved incident response process currently in operation.</t>
  </si>
  <si>
    <t>EVD-023</t>
  </si>
  <si>
    <t>Disaster Recovery Test Report</t>
  </si>
  <si>
    <t>Test Record</t>
  </si>
  <si>
    <t>ISMS / Business Continuity</t>
  </si>
  <si>
    <t>Formal recovery testing evidence required.</t>
  </si>
  <si>
    <t>EVD-024</t>
  </si>
  <si>
    <t>Independent Information Security Review</t>
  </si>
  <si>
    <t>No independent ISMS review completed yet.</t>
  </si>
  <si>
    <t>EVD-025</t>
  </si>
  <si>
    <t>Employee Screening Records</t>
  </si>
  <si>
    <t>On Hire</t>
  </si>
  <si>
    <t>ISMS / HR Security</t>
  </si>
  <si>
    <t>Screening evidence maintained by HR.</t>
  </si>
  <si>
    <t>EVD-026</t>
  </si>
  <si>
    <t>Security Awareness &amp; Phishing Reports</t>
  </si>
  <si>
    <t>Used to measure awareness effectiveness.</t>
  </si>
  <si>
    <t>EVD-027</t>
  </si>
  <si>
    <t>Physical Access Records</t>
  </si>
  <si>
    <t>Physical Security Record</t>
  </si>
  <si>
    <t>ISMS / Physical Security</t>
  </si>
  <si>
    <t>Badge and visitor access records retained.</t>
  </si>
  <si>
    <t>EVD-028</t>
  </si>
  <si>
    <t>Privileged Access Review Records</t>
  </si>
  <si>
    <t>Quarterly recertification not yet consistently performed.</t>
  </si>
  <si>
    <t>EVD-029</t>
  </si>
  <si>
    <t>MFA Coverage Report</t>
  </si>
  <si>
    <t>Technical Evidence</t>
  </si>
  <si>
    <t>ISMS / Identity Security</t>
  </si>
  <si>
    <t>Legacy applications remain outside full MFA coverage.</t>
  </si>
  <si>
    <t>EVD-030</t>
  </si>
  <si>
    <t>EDR Coverage Report</t>
  </si>
  <si>
    <t>ISMS / Security Operations</t>
  </si>
  <si>
    <t>Endpoint protection coverage monitored centrally.</t>
  </si>
  <si>
    <t>EVD-031</t>
  </si>
  <si>
    <t>Vulnerability Management Reports</t>
  </si>
  <si>
    <t>ISMS / Vulnerability Management</t>
  </si>
  <si>
    <t>Remediation SLAs and overdue escalation require formalisation.</t>
  </si>
  <si>
    <t>EVD-032</t>
  </si>
  <si>
    <t>Secure Configuration Baselines</t>
  </si>
  <si>
    <t>ISMS / Configuration Management</t>
  </si>
  <si>
    <t>Baselines under development for cloud and endpoint environments.</t>
  </si>
  <si>
    <t>EVD-033</t>
  </si>
  <si>
    <t>Backup &amp; Restoration Test Records</t>
  </si>
  <si>
    <t>Backups exist but restoration evidence is inconsistent.</t>
  </si>
  <si>
    <t>EVD-034</t>
  </si>
  <si>
    <t>Central Logging Standard</t>
  </si>
  <si>
    <t>Log retention and monitoring requirements being consolidated.</t>
  </si>
  <si>
    <t>EVD-035</t>
  </si>
  <si>
    <t>Security Monitoring Coverage Matrix</t>
  </si>
  <si>
    <t>SaaS and cloud monitoring coverage requires expansion.</t>
  </si>
  <si>
    <t>EVD-036</t>
  </si>
  <si>
    <t>Secure SDLC Standard</t>
  </si>
  <si>
    <t>ISMS / Secure Development</t>
  </si>
  <si>
    <t>Security gates and release criteria being formalised.</t>
  </si>
  <si>
    <t>Control Reference</t>
  </si>
  <si>
    <t>Annex A Control</t>
  </si>
  <si>
    <t>Applicable?</t>
  </si>
  <si>
    <t>Justification for Inclusion / Exclusion</t>
  </si>
  <si>
    <t>Supporting Evidence</t>
  </si>
  <si>
    <t>Remediation Reference</t>
  </si>
  <si>
    <t>Review Notes</t>
  </si>
  <si>
    <t>Yes</t>
  </si>
  <si>
    <t>Required to establish management direction and organisational expectations for information security.</t>
  </si>
  <si>
    <t>Policy approved and communicated.</t>
  </si>
  <si>
    <t>Required to establish accountability for information security responsibilities and ISMS controls.</t>
  </si>
  <si>
    <t>Organisation Chart; Job Descriptions</t>
  </si>
  <si>
    <t>Formal ISMS RACI remains required.</t>
  </si>
  <si>
    <t>CloudCore requires relevant threat information to support security monitoring and risk management.</t>
  </si>
  <si>
    <t>Vulnerability Alerts; Vendor Security Notifications</t>
  </si>
  <si>
    <t>Formal threat-intelligence process requires development.</t>
  </si>
  <si>
    <t>Required to identify and manage information, technology and SaaS assets supporting CloudCore services.</t>
  </si>
  <si>
    <t>SaaS and information asset coverage requires improvement.</t>
  </si>
  <si>
    <t>Required to ensure information receives protection appropriate to its sensitivity and business value.</t>
  </si>
  <si>
    <t>Data Handling Policy</t>
  </si>
  <si>
    <t>Classification scheme requires consistent implementation.</t>
  </si>
  <si>
    <t>Required to restrict access to CloudCore systems, services and information according to business and security requirements.</t>
  </si>
  <si>
    <t>Access Control Policy; RBAC Standards</t>
  </si>
  <si>
    <t>Control operating.</t>
  </si>
  <si>
    <t>Required to govern provisioning, review, modification and removal of user access rights.</t>
  </si>
  <si>
    <t>Access Review Records</t>
  </si>
  <si>
    <t>Quarterly recertification required for critical applications.</t>
  </si>
  <si>
    <t>CloudCore relies on third-party SaaS and technology suppliers that may introduce information security risk.</t>
  </si>
  <si>
    <t>Supplier Security Assessments</t>
  </si>
  <si>
    <t>Risk-tiered supplier assessment required.</t>
  </si>
  <si>
    <t>Supplier contracts require appropriate security obligations to protect CloudCore information and services.</t>
  </si>
  <si>
    <t>Supplier Contracts; Security Clauses</t>
  </si>
  <si>
    <t>Minimum contractual security requirements require standardisation.</t>
  </si>
  <si>
    <t>Cloud services are fundamental to CloudCore's SaaS operating model and require lifecycle security governance.</t>
  </si>
  <si>
    <t>Cloud Architecture Standards</t>
  </si>
  <si>
    <t>Cloud lifecycle and exit governance requires improvement.</t>
  </si>
  <si>
    <t>Required to ensure CloudCore can respond consistently to information security incidents.</t>
  </si>
  <si>
    <t>Incident response process established.</t>
  </si>
  <si>
    <t>Required to maintain appropriate information security controls during business or technology disruption.</t>
  </si>
  <si>
    <t>Business Continuity Plan</t>
  </si>
  <si>
    <t>Security requirements during disruption require greater definition.</t>
  </si>
  <si>
    <t>CloudCore's SaaS services require tested technology recovery capability to support continuity objectives.</t>
  </si>
  <si>
    <t>Disaster Recovery Plan</t>
  </si>
  <si>
    <t>Recovery and failover testing requires improvement.</t>
  </si>
  <si>
    <t>CloudCore must identify and comply with applicable legal, regulatory and contractual information security obligations.</t>
  </si>
  <si>
    <t>Regulatory Register; Customer Contracts</t>
  </si>
  <si>
    <t>Consolidated information-security obligations register required.</t>
  </si>
  <si>
    <t>Independent review is required to evaluate the continuing suitability and effectiveness of CloudCore's information security approach.</t>
  </si>
  <si>
    <t>No evidence currently available</t>
  </si>
  <si>
    <t>Independent review must be established before certification readiness.</t>
  </si>
  <si>
    <t>Relevant personnel require proportionate pre-employment screening based on role and legal requirements.</t>
  </si>
  <si>
    <t>Personnel require appropriate awareness and training to understand and fulfil their security responsibilities.</t>
  </si>
  <si>
    <t>Security responsibilities and access obligations must remain appropriately managed following employment changes.</t>
  </si>
  <si>
    <t>HR Offboarding Checklist</t>
  </si>
  <si>
    <t>Access-removal evidence requires improvement.</t>
  </si>
  <si>
    <t>CloudCore supports remote working and must protect information accessed outside corporate premises.</t>
  </si>
  <si>
    <t>Remote Working Policy; VPN; Endpoint Controls</t>
  </si>
  <si>
    <t>Personnel need clear mechanisms to report suspected information security events promptly.</t>
  </si>
  <si>
    <t>Incident Reporting Procedure</t>
  </si>
  <si>
    <t>CloudCore office areas and information-processing equipment require protection against unauthorised physical access.</t>
  </si>
  <si>
    <t>Office Access Controls; Visitor Procedures</t>
  </si>
  <si>
    <t>Physical entry to CloudCore premises and secure areas must be appropriately controlled.</t>
  </si>
  <si>
    <t>Badge Access System; Visitor Logs</t>
  </si>
  <si>
    <t>Monitoring supports detection and investigation of unauthorised access to CloudCore premises.</t>
  </si>
  <si>
    <t>CCTV; Building Access Logs</t>
  </si>
  <si>
    <t>CCTV governance and retention requirements require documentation.</t>
  </si>
  <si>
    <t>Required to reduce unauthorised exposure of sensitive information in office environments.</t>
  </si>
  <si>
    <t>Employee Handbook; Screen-Lock Configuration</t>
  </si>
  <si>
    <t>Clear-desk expectations require stronger communication.</t>
  </si>
  <si>
    <t>CloudCore administrators possess elevated access capable of significantly affecting systems and information.</t>
  </si>
  <si>
    <t>Privileged Account Inventory; MFA</t>
  </si>
  <si>
    <t>PAM and quarterly privileged-access review required.</t>
  </si>
  <si>
    <t>Strong authentication is required for CloudCore applications, cloud services and privileged access.</t>
  </si>
  <si>
    <t>MFA Coverage Report; Password Standard</t>
  </si>
  <si>
    <t>MFA coverage requires expansion.</t>
  </si>
  <si>
    <t>CloudCore endpoints and systems require protection against malicious software.</t>
  </si>
  <si>
    <t>EDR Coverage Report; Email Filtering</t>
  </si>
  <si>
    <t>CloudCore's internet-facing SaaS environment requires timely identification and remediation of technical vulnerabilities.</t>
  </si>
  <si>
    <t>Risk-based remediation SLAs required.</t>
  </si>
  <si>
    <t>Secure and consistent configuration is necessary across CloudCore's cloud and endpoint environments.</t>
  </si>
  <si>
    <t>Cloud Configuration Standards</t>
  </si>
  <si>
    <t>Central baselines and automated monitoring required.</t>
  </si>
  <si>
    <t>Backups are required to support recovery of CloudCore information and services following disruption.</t>
  </si>
  <si>
    <t>Backup Logs; Backup Procedures</t>
  </si>
  <si>
    <t>Restoration testing requires formalisation.</t>
  </si>
  <si>
    <t>Security and operational logs are required to detect, investigate and evidence relevant activity.</t>
  </si>
  <si>
    <t>SIEM; Cloud Audit Logs</t>
  </si>
  <si>
    <t>Central logging standard required.</t>
  </si>
  <si>
    <t>CloudCore requires security monitoring to identify anomalous activity across critical technology services.</t>
  </si>
  <si>
    <t>SIEM Alerts; EDR Monitoring</t>
  </si>
  <si>
    <t>Cloud and SaaS monitoring coverage requires expansion.</t>
  </si>
  <si>
    <t>Network security controls are required to protect CloudCore systems, services and data flows.</t>
  </si>
  <si>
    <t>Firewall Standards; Network Diagrams</t>
  </si>
  <si>
    <t>CloudCore processes sensitive business and customer information requiring appropriate encryption and key management.</t>
  </si>
  <si>
    <t>Encryption Standards; Cloud KMS</t>
  </si>
  <si>
    <t>Key-management lifecycle requirements require consolidation.</t>
  </si>
  <si>
    <t>CloudCore develops SaaS software and therefore requires security throughout the development lifecycle.</t>
  </si>
  <si>
    <t>SDLC Procedure; Code Review Process</t>
  </si>
  <si>
    <t>Security gates and release criteria require formalisation.</t>
  </si>
  <si>
    <t>Secure coding practices are required to reduce vulnerabilities introduced during software development.</t>
  </si>
  <si>
    <t>Code Review Guidelines; Developer Training</t>
  </si>
  <si>
    <t>Secure-coding standards and compliance evidence require improvement.</t>
  </si>
  <si>
    <t>CloudCore Systems Ltd — ISO/IEC 27001:2022 Readiness Assessment</t>
  </si>
  <si>
    <t>Executive ISMS Readiness Dashboard | September 2026</t>
  </si>
  <si>
    <t>Assessments Completed</t>
  </si>
  <si>
    <t>Readiness</t>
  </si>
  <si>
    <t>Management Assessment</t>
  </si>
  <si>
    <t>CloudCore's ISO/IEC 27001:2022 readiness assessment indicates that the organisation has established several foundational information security controls, but significant work remains before certification readiness.
Of 59 assessed requirements and representative Annex A controls, 14 are fully implemented, 39 are partially implemented and 6 are not implemented. The portfolio readiness indicator is currently 56.8%.
Priority gaps include ISMS internal audit, management review, independent information security review, privileged access management and vulnerability management. These areas require accelerated remediation because they represent significant governance or control-effectiveness weaknesses.
Existing security practices provide a strong foundation for ISMS development; however, greater formalisation, evidence retention, governance and consistent control operation are required before CloudCore should proceed to certification assessment.</t>
  </si>
  <si>
    <t>Count</t>
  </si>
  <si>
    <t>Remediation Metric</t>
  </si>
  <si>
    <t>Total Actions</t>
  </si>
  <si>
    <t>Critical Priority</t>
  </si>
  <si>
    <t>High Priority</t>
  </si>
  <si>
    <t>Remediation Actions</t>
  </si>
  <si>
    <t>Actions In Progress</t>
  </si>
  <si>
    <t>Actions Not Started</t>
  </si>
  <si>
    <t>Certification Readiness Priorities</t>
  </si>
  <si>
    <t>Internal Audit &amp; Management Review: Establish and execute the formal ISMS internal audit programme and management review process before certification assessment.
Independent Security Review: Complete an independent review of the organisation's information security approach and track resulting corrective actions.
Privileged Access Management: Implement stronger privileged-access governance, including periodic recertification and time-limited administrative access.
Vulnerability Management: Establish risk-based remediation SLAs and formal escalation requirements for overdue vulnerabilities.
ISMS Governance &amp; Evidence: Strengthen documentation, control ownership, evidence retention and traceability across the ISMS.</t>
  </si>
  <si>
    <t>Certification Readiness Decision</t>
  </si>
  <si>
    <t>NOT YET READY FOR CERTIFICATION ASSESSMENT</t>
  </si>
  <si>
    <t>CloudCore should complete Critical remediation actions, establish the required ISMS governance activities and demonstrate consistent control operation before proceeding to an external certification audit.</t>
  </si>
  <si>
    <t>CloudCore Systems Ltd — ISO/IEC 27001:2022 Gap Assessment Methodology</t>
  </si>
  <si>
    <t>Assessment Status</t>
  </si>
  <si>
    <t>Score</t>
  </si>
  <si>
    <t>Definition</t>
  </si>
  <si>
    <t>Assessment Metric</t>
  </si>
  <si>
    <t>Result</t>
  </si>
  <si>
    <t>Requirement/control is implemented and supported by sufficient evidence.</t>
  </si>
  <si>
    <t>Total Assessments</t>
  </si>
  <si>
    <t>Requirement/control is partly implemented but gaps or evidence deficiencies remain.</t>
  </si>
  <si>
    <t>Total Readiness Score</t>
  </si>
  <si>
    <t>Requirement/control is absent or materially ineffective.</t>
  </si>
  <si>
    <t>Readiness %</t>
  </si>
  <si>
    <t>Not Applicable</t>
  </si>
  <si>
    <t>Excluded</t>
  </si>
  <si>
    <t>Requirement/control is not applicable based on the organisation's context and documented justification.</t>
  </si>
  <si>
    <t>Major certification-readiness issue requiring urgent remediation.</t>
  </si>
  <si>
    <t>Significant gap requiring remediation before certification.</t>
  </si>
  <si>
    <t>Control or process improvement required but lower immediate certification risk.</t>
  </si>
  <si>
    <t>Minor improvement, maintenance action or observation.</t>
  </si>
  <si>
    <t>Assessment Approach</t>
  </si>
  <si>
    <t>The assessment evaluates ISO/IEC 27001:2022 management system requirements and a representative risk-based selection of Annex A controls.</t>
  </si>
  <si>
    <t>Implementation status is determined through review of documented processes, available evidence and identified control gaps.</t>
  </si>
  <si>
    <t>Readiness scoring excludes controls formally assessed as Not Applicable.</t>
  </si>
  <si>
    <t>The readiness percentage is an internal portfolio metric used to summarise assessment results and does not represent an official ISO certification score.</t>
  </si>
  <si>
    <t>Certification readiness ultimately depends on conformity with applicable ISO/IEC 27001 requirements, effective implementation of the ISMS and successful independent certification audit.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</si>
</sst>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9" fontId="0" fillId="0" borderId="0" xfId="0" applyNumberForma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wrapText="1"/>
    </xf>
    <xf numFmtId="0" fontId="5" fillId="0" borderId="0" xfId="0" applyFont="1"/>
    <xf numFmtId="0" fontId="0" fillId="0" borderId="0" xfId="0" quotePrefix="1"/>
    <xf numFmtId="0" fontId="1" fillId="0" borderId="0" xfId="0" quotePrefix="1" applyFont="1"/>
    <xf numFmtId="0" fontId="5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10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center" vertical="top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164" fontId="4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 27001 Implementation Status</a:t>
            </a:r>
          </a:p>
        </c:rich>
      </c:tx>
      <c:layout>
        <c:manualLayout>
          <c:xMode val="edge"/>
          <c:yMode val="edge"/>
          <c:x val="0.31607929033478405"/>
          <c:y val="1.77397989583198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Dashboard'!$V$11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'Executive Dashboard'!$U$12:$U$14</c:f>
              <c:strCache>
                <c:ptCount val="3"/>
                <c:pt idx="0">
                  <c:v>Implemented</c:v>
                </c:pt>
                <c:pt idx="1">
                  <c:v>Partially Implemented</c:v>
                </c:pt>
                <c:pt idx="2">
                  <c:v>Not Implemented</c:v>
                </c:pt>
              </c:strCache>
            </c:strRef>
          </c:cat>
          <c:val>
            <c:numRef>
              <c:f>'Executive Dashboard'!$V$12:$V$14</c:f>
              <c:numCache>
                <c:formatCode>General</c:formatCode>
                <c:ptCount val="3"/>
                <c:pt idx="0">
                  <c:v>14</c:v>
                </c:pt>
                <c:pt idx="1">
                  <c:v>39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6-4F5A-BF8E-65EA02BF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5965192"/>
        <c:axId val="1056620040"/>
      </c:barChart>
      <c:catAx>
        <c:axId val="1055965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620040"/>
        <c:crosses val="autoZero"/>
        <c:auto val="1"/>
        <c:lblAlgn val="ctr"/>
        <c:lblOffset val="100"/>
        <c:noMultiLvlLbl val="0"/>
      </c:catAx>
      <c:valAx>
        <c:axId val="10566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965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171450</xdr:rowOff>
    </xdr:from>
    <xdr:to>
      <xdr:col>14</xdr:col>
      <xdr:colOff>85725</xdr:colOff>
      <xdr:row>39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E4F91A-0303-03AF-6327-6101F4D3C0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workbookViewId="0">
      <selection activeCell="A2" sqref="A2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  <row r="2" spans="1:13">
      <c r="A2" s="9">
        <v>4.0999999999999996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f>IF(E2="Implemented",1,IF(E2="Partially Implemented",0.5,IF(E2="Not Implemented",0,"")))</f>
        <v>0.5</v>
      </c>
    </row>
    <row r="3" spans="1:13">
      <c r="A3" s="9">
        <v>4.2</v>
      </c>
      <c r="B3" t="s">
        <v>24</v>
      </c>
      <c r="C3" t="s">
        <v>14</v>
      </c>
      <c r="D3" t="s">
        <v>25</v>
      </c>
      <c r="E3" t="s">
        <v>16</v>
      </c>
      <c r="F3" t="s">
        <v>26</v>
      </c>
      <c r="G3" t="s">
        <v>27</v>
      </c>
      <c r="H3" t="s">
        <v>28</v>
      </c>
      <c r="I3" t="s">
        <v>29</v>
      </c>
      <c r="J3" t="s">
        <v>21</v>
      </c>
      <c r="K3" t="s">
        <v>22</v>
      </c>
      <c r="L3" t="s">
        <v>30</v>
      </c>
      <c r="M3">
        <f t="shared" ref="M3:M61" si="0">IF(E3="Implemented",1,IF(E3="Partially Implemented",0.5,IF(E3="Not Implemented",0,"")))</f>
        <v>0.5</v>
      </c>
    </row>
    <row r="4" spans="1:13">
      <c r="A4" s="9">
        <v>4.3</v>
      </c>
      <c r="B4" t="s">
        <v>31</v>
      </c>
      <c r="C4" t="s">
        <v>14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20</v>
      </c>
      <c r="J4" t="s">
        <v>37</v>
      </c>
      <c r="K4" t="s">
        <v>38</v>
      </c>
      <c r="L4" t="s">
        <v>39</v>
      </c>
      <c r="M4">
        <f t="shared" si="0"/>
        <v>0</v>
      </c>
    </row>
    <row r="5" spans="1:13">
      <c r="A5" s="9">
        <v>4.4000000000000004</v>
      </c>
      <c r="B5" t="s">
        <v>40</v>
      </c>
      <c r="C5" t="s">
        <v>14</v>
      </c>
      <c r="D5" t="s">
        <v>41</v>
      </c>
      <c r="E5" t="s">
        <v>16</v>
      </c>
      <c r="F5" t="s">
        <v>42</v>
      </c>
      <c r="G5" t="s">
        <v>43</v>
      </c>
      <c r="H5" t="s">
        <v>44</v>
      </c>
      <c r="I5" t="s">
        <v>45</v>
      </c>
      <c r="J5" t="s">
        <v>37</v>
      </c>
      <c r="K5" t="s">
        <v>46</v>
      </c>
      <c r="L5" t="s">
        <v>47</v>
      </c>
      <c r="M5">
        <f t="shared" si="0"/>
        <v>0.5</v>
      </c>
    </row>
    <row r="6" spans="1:13">
      <c r="A6" s="9">
        <v>5.0999999999999996</v>
      </c>
      <c r="B6" t="s">
        <v>48</v>
      </c>
      <c r="C6" t="s">
        <v>49</v>
      </c>
      <c r="D6" t="s">
        <v>50</v>
      </c>
      <c r="E6" t="s">
        <v>16</v>
      </c>
      <c r="F6" t="s">
        <v>51</v>
      </c>
      <c r="G6" t="s">
        <v>52</v>
      </c>
      <c r="H6" t="s">
        <v>53</v>
      </c>
      <c r="I6" t="s">
        <v>54</v>
      </c>
      <c r="J6" t="s">
        <v>37</v>
      </c>
      <c r="K6" t="s">
        <v>46</v>
      </c>
      <c r="L6" t="s">
        <v>55</v>
      </c>
      <c r="M6">
        <f t="shared" si="0"/>
        <v>0.5</v>
      </c>
    </row>
    <row r="7" spans="1:13">
      <c r="A7" s="9">
        <v>5.2</v>
      </c>
      <c r="B7" t="s">
        <v>56</v>
      </c>
      <c r="C7" t="s">
        <v>49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45</v>
      </c>
      <c r="J7" t="s">
        <v>62</v>
      </c>
      <c r="K7" t="s">
        <v>46</v>
      </c>
      <c r="L7" t="s">
        <v>63</v>
      </c>
      <c r="M7">
        <f t="shared" si="0"/>
        <v>1</v>
      </c>
    </row>
    <row r="8" spans="1:13">
      <c r="A8" s="9">
        <v>5.3</v>
      </c>
      <c r="B8" t="s">
        <v>64</v>
      </c>
      <c r="C8" t="s">
        <v>49</v>
      </c>
      <c r="D8" t="s">
        <v>65</v>
      </c>
      <c r="E8" t="s">
        <v>16</v>
      </c>
      <c r="F8" t="s">
        <v>66</v>
      </c>
      <c r="G8" t="s">
        <v>67</v>
      </c>
      <c r="H8" t="s">
        <v>68</v>
      </c>
      <c r="I8" t="s">
        <v>45</v>
      </c>
      <c r="J8" t="s">
        <v>21</v>
      </c>
      <c r="K8" t="s">
        <v>46</v>
      </c>
      <c r="L8" t="s">
        <v>69</v>
      </c>
      <c r="M8">
        <f t="shared" si="0"/>
        <v>0.5</v>
      </c>
    </row>
    <row r="9" spans="1:13">
      <c r="A9" s="9">
        <v>6.1</v>
      </c>
      <c r="B9" t="s">
        <v>70</v>
      </c>
      <c r="C9" t="s">
        <v>71</v>
      </c>
      <c r="D9" t="s">
        <v>72</v>
      </c>
      <c r="E9" t="s">
        <v>16</v>
      </c>
      <c r="F9" t="s">
        <v>73</v>
      </c>
      <c r="G9" t="s">
        <v>74</v>
      </c>
      <c r="H9" t="s">
        <v>75</v>
      </c>
      <c r="I9" t="s">
        <v>76</v>
      </c>
      <c r="J9" t="s">
        <v>37</v>
      </c>
      <c r="K9" t="s">
        <v>22</v>
      </c>
      <c r="L9" t="s">
        <v>77</v>
      </c>
      <c r="M9">
        <f t="shared" si="0"/>
        <v>0.5</v>
      </c>
    </row>
    <row r="10" spans="1:13">
      <c r="A10" s="9">
        <v>6.2</v>
      </c>
      <c r="B10" t="s">
        <v>78</v>
      </c>
      <c r="C10" t="s">
        <v>71</v>
      </c>
      <c r="D10" t="s">
        <v>79</v>
      </c>
      <c r="E10" t="s">
        <v>16</v>
      </c>
      <c r="F10" t="s">
        <v>80</v>
      </c>
      <c r="G10" t="s">
        <v>81</v>
      </c>
      <c r="H10" t="s">
        <v>82</v>
      </c>
      <c r="I10" t="s">
        <v>45</v>
      </c>
      <c r="J10" t="s">
        <v>21</v>
      </c>
      <c r="K10" t="s">
        <v>46</v>
      </c>
      <c r="L10" t="s">
        <v>83</v>
      </c>
      <c r="M10">
        <f t="shared" si="0"/>
        <v>0.5</v>
      </c>
    </row>
    <row r="11" spans="1:13">
      <c r="A11" s="9">
        <v>6.3</v>
      </c>
      <c r="B11" t="s">
        <v>84</v>
      </c>
      <c r="C11" t="s">
        <v>71</v>
      </c>
      <c r="D11" t="s">
        <v>85</v>
      </c>
      <c r="E11" t="s">
        <v>33</v>
      </c>
      <c r="F11" t="s">
        <v>86</v>
      </c>
      <c r="G11" t="s">
        <v>87</v>
      </c>
      <c r="H11" t="s">
        <v>88</v>
      </c>
      <c r="I11" t="s">
        <v>89</v>
      </c>
      <c r="J11" t="s">
        <v>21</v>
      </c>
      <c r="K11" t="s">
        <v>90</v>
      </c>
      <c r="L11" t="s">
        <v>91</v>
      </c>
      <c r="M11">
        <f t="shared" si="0"/>
        <v>0</v>
      </c>
    </row>
    <row r="12" spans="1:13">
      <c r="A12" s="9">
        <v>7.1</v>
      </c>
      <c r="B12" t="s">
        <v>92</v>
      </c>
      <c r="C12" t="s">
        <v>93</v>
      </c>
      <c r="D12" t="s">
        <v>94</v>
      </c>
      <c r="E12" t="s">
        <v>58</v>
      </c>
      <c r="F12" t="s">
        <v>95</v>
      </c>
      <c r="G12" t="s">
        <v>60</v>
      </c>
      <c r="H12" t="s">
        <v>96</v>
      </c>
      <c r="I12" t="s">
        <v>45</v>
      </c>
      <c r="J12" t="s">
        <v>62</v>
      </c>
      <c r="K12" t="s">
        <v>46</v>
      </c>
      <c r="L12" t="s">
        <v>97</v>
      </c>
      <c r="M12">
        <f t="shared" si="0"/>
        <v>1</v>
      </c>
    </row>
    <row r="13" spans="1:13">
      <c r="A13" s="9">
        <v>7.2</v>
      </c>
      <c r="B13" t="s">
        <v>98</v>
      </c>
      <c r="C13" t="s">
        <v>93</v>
      </c>
      <c r="D13" t="s">
        <v>99</v>
      </c>
      <c r="E13" t="s">
        <v>16</v>
      </c>
      <c r="F13" t="s">
        <v>100</v>
      </c>
      <c r="G13" t="s">
        <v>101</v>
      </c>
      <c r="H13" t="s">
        <v>102</v>
      </c>
      <c r="I13" t="s">
        <v>103</v>
      </c>
      <c r="J13" t="s">
        <v>21</v>
      </c>
      <c r="K13" t="s">
        <v>90</v>
      </c>
      <c r="L13" t="s">
        <v>104</v>
      </c>
      <c r="M13">
        <f t="shared" si="0"/>
        <v>0.5</v>
      </c>
    </row>
    <row r="14" spans="1:13">
      <c r="A14" s="9">
        <v>7.3</v>
      </c>
      <c r="B14" t="s">
        <v>105</v>
      </c>
      <c r="C14" t="s">
        <v>93</v>
      </c>
      <c r="D14" t="s">
        <v>106</v>
      </c>
      <c r="E14" t="s">
        <v>58</v>
      </c>
      <c r="F14" t="s">
        <v>107</v>
      </c>
      <c r="G14" t="s">
        <v>60</v>
      </c>
      <c r="H14" t="s">
        <v>108</v>
      </c>
      <c r="I14" t="s">
        <v>109</v>
      </c>
      <c r="J14" t="s">
        <v>62</v>
      </c>
      <c r="K14" t="s">
        <v>46</v>
      </c>
      <c r="L14" t="s">
        <v>110</v>
      </c>
      <c r="M14">
        <f t="shared" si="0"/>
        <v>1</v>
      </c>
    </row>
    <row r="15" spans="1:13">
      <c r="A15" s="9">
        <v>7.4</v>
      </c>
      <c r="B15" t="s">
        <v>111</v>
      </c>
      <c r="C15" t="s">
        <v>93</v>
      </c>
      <c r="D15" t="s">
        <v>112</v>
      </c>
      <c r="E15" t="s">
        <v>16</v>
      </c>
      <c r="F15" t="s">
        <v>113</v>
      </c>
      <c r="G15" t="s">
        <v>114</v>
      </c>
      <c r="H15" t="s">
        <v>115</v>
      </c>
      <c r="I15" t="s">
        <v>89</v>
      </c>
      <c r="J15" t="s">
        <v>21</v>
      </c>
      <c r="K15" t="s">
        <v>90</v>
      </c>
      <c r="L15" t="s">
        <v>116</v>
      </c>
      <c r="M15">
        <f t="shared" si="0"/>
        <v>0.5</v>
      </c>
    </row>
    <row r="16" spans="1:13">
      <c r="A16" s="9">
        <v>7.5</v>
      </c>
      <c r="B16" t="s">
        <v>117</v>
      </c>
      <c r="C16" t="s">
        <v>93</v>
      </c>
      <c r="D16" t="s">
        <v>118</v>
      </c>
      <c r="E16" t="s">
        <v>16</v>
      </c>
      <c r="F16" t="s">
        <v>119</v>
      </c>
      <c r="G16" t="s">
        <v>120</v>
      </c>
      <c r="H16" t="s">
        <v>121</v>
      </c>
      <c r="I16" t="s">
        <v>89</v>
      </c>
      <c r="J16" t="s">
        <v>37</v>
      </c>
      <c r="K16" t="s">
        <v>46</v>
      </c>
      <c r="L16" t="s">
        <v>122</v>
      </c>
      <c r="M16">
        <f t="shared" si="0"/>
        <v>0.5</v>
      </c>
    </row>
    <row r="17" spans="1:13">
      <c r="A17" s="9">
        <v>8.1</v>
      </c>
      <c r="B17" t="s">
        <v>123</v>
      </c>
      <c r="C17" t="s">
        <v>124</v>
      </c>
      <c r="D17" t="s">
        <v>125</v>
      </c>
      <c r="E17" t="s">
        <v>16</v>
      </c>
      <c r="F17" t="s">
        <v>126</v>
      </c>
      <c r="G17" t="s">
        <v>127</v>
      </c>
      <c r="H17" t="s">
        <v>128</v>
      </c>
      <c r="I17" t="s">
        <v>20</v>
      </c>
      <c r="J17" t="s">
        <v>37</v>
      </c>
      <c r="K17" t="s">
        <v>90</v>
      </c>
      <c r="L17" t="s">
        <v>129</v>
      </c>
      <c r="M17">
        <f t="shared" si="0"/>
        <v>0.5</v>
      </c>
    </row>
    <row r="18" spans="1:13">
      <c r="A18" s="9">
        <v>8.1999999999999993</v>
      </c>
      <c r="B18" t="s">
        <v>130</v>
      </c>
      <c r="C18" t="s">
        <v>124</v>
      </c>
      <c r="D18" t="s">
        <v>131</v>
      </c>
      <c r="E18" t="s">
        <v>16</v>
      </c>
      <c r="F18" t="s">
        <v>132</v>
      </c>
      <c r="G18" t="s">
        <v>133</v>
      </c>
      <c r="H18" t="s">
        <v>134</v>
      </c>
      <c r="I18" t="s">
        <v>76</v>
      </c>
      <c r="J18" t="s">
        <v>37</v>
      </c>
      <c r="K18" t="s">
        <v>46</v>
      </c>
      <c r="L18" t="s">
        <v>135</v>
      </c>
      <c r="M18">
        <f t="shared" si="0"/>
        <v>0.5</v>
      </c>
    </row>
    <row r="19" spans="1:13">
      <c r="A19" s="9">
        <v>8.3000000000000007</v>
      </c>
      <c r="B19" t="s">
        <v>136</v>
      </c>
      <c r="C19" t="s">
        <v>124</v>
      </c>
      <c r="D19" t="s">
        <v>137</v>
      </c>
      <c r="E19" t="s">
        <v>16</v>
      </c>
      <c r="F19" t="s">
        <v>138</v>
      </c>
      <c r="G19" t="s">
        <v>139</v>
      </c>
      <c r="H19" t="s">
        <v>140</v>
      </c>
      <c r="I19" t="s">
        <v>76</v>
      </c>
      <c r="J19" t="s">
        <v>37</v>
      </c>
      <c r="K19" t="s">
        <v>90</v>
      </c>
      <c r="L19" t="s">
        <v>141</v>
      </c>
      <c r="M19">
        <f t="shared" si="0"/>
        <v>0.5</v>
      </c>
    </row>
    <row r="20" spans="1:13">
      <c r="A20" s="9">
        <v>9.1</v>
      </c>
      <c r="B20" t="s">
        <v>142</v>
      </c>
      <c r="C20" t="s">
        <v>143</v>
      </c>
      <c r="D20" t="s">
        <v>144</v>
      </c>
      <c r="E20" t="s">
        <v>16</v>
      </c>
      <c r="F20" t="s">
        <v>145</v>
      </c>
      <c r="G20" t="s">
        <v>146</v>
      </c>
      <c r="H20" t="s">
        <v>147</v>
      </c>
      <c r="I20" t="s">
        <v>89</v>
      </c>
      <c r="J20" t="s">
        <v>21</v>
      </c>
      <c r="K20" t="s">
        <v>90</v>
      </c>
      <c r="L20" t="s">
        <v>148</v>
      </c>
      <c r="M20">
        <f t="shared" si="0"/>
        <v>0.5</v>
      </c>
    </row>
    <row r="21" spans="1:13">
      <c r="A21" s="9">
        <v>9.1999999999999993</v>
      </c>
      <c r="B21" t="s">
        <v>149</v>
      </c>
      <c r="C21" t="s">
        <v>143</v>
      </c>
      <c r="D21" t="s">
        <v>150</v>
      </c>
      <c r="E21" t="s">
        <v>33</v>
      </c>
      <c r="F21" t="s">
        <v>151</v>
      </c>
      <c r="G21" t="s">
        <v>152</v>
      </c>
      <c r="H21" t="s">
        <v>153</v>
      </c>
      <c r="I21" t="s">
        <v>154</v>
      </c>
      <c r="J21" t="s">
        <v>155</v>
      </c>
      <c r="K21" t="s">
        <v>156</v>
      </c>
      <c r="L21" t="s">
        <v>157</v>
      </c>
      <c r="M21">
        <f t="shared" si="0"/>
        <v>0</v>
      </c>
    </row>
    <row r="22" spans="1:13">
      <c r="A22" s="9">
        <v>9.3000000000000007</v>
      </c>
      <c r="B22" t="s">
        <v>158</v>
      </c>
      <c r="C22" t="s">
        <v>143</v>
      </c>
      <c r="D22" t="s">
        <v>159</v>
      </c>
      <c r="E22" t="s">
        <v>33</v>
      </c>
      <c r="F22" t="s">
        <v>151</v>
      </c>
      <c r="G22" t="s">
        <v>160</v>
      </c>
      <c r="H22" t="s">
        <v>161</v>
      </c>
      <c r="I22" t="s">
        <v>45</v>
      </c>
      <c r="J22" t="s">
        <v>155</v>
      </c>
      <c r="K22" t="s">
        <v>156</v>
      </c>
      <c r="L22" t="s">
        <v>162</v>
      </c>
      <c r="M22">
        <f t="shared" si="0"/>
        <v>0</v>
      </c>
    </row>
    <row r="23" spans="1:13">
      <c r="A23" s="9">
        <v>10.1</v>
      </c>
      <c r="B23" t="s">
        <v>163</v>
      </c>
      <c r="C23" t="s">
        <v>164</v>
      </c>
      <c r="D23" t="s">
        <v>165</v>
      </c>
      <c r="E23" t="s">
        <v>16</v>
      </c>
      <c r="F23" t="s">
        <v>166</v>
      </c>
      <c r="G23" t="s">
        <v>167</v>
      </c>
      <c r="H23" t="s">
        <v>168</v>
      </c>
      <c r="I23" t="s">
        <v>89</v>
      </c>
      <c r="J23" t="s">
        <v>21</v>
      </c>
      <c r="K23" t="s">
        <v>156</v>
      </c>
      <c r="L23" t="s">
        <v>169</v>
      </c>
      <c r="M23">
        <f t="shared" si="0"/>
        <v>0.5</v>
      </c>
    </row>
    <row r="24" spans="1:13">
      <c r="A24" s="9">
        <v>10.199999999999999</v>
      </c>
      <c r="B24" t="s">
        <v>170</v>
      </c>
      <c r="C24" t="s">
        <v>164</v>
      </c>
      <c r="D24" t="s">
        <v>171</v>
      </c>
      <c r="E24" t="s">
        <v>33</v>
      </c>
      <c r="F24" t="s">
        <v>172</v>
      </c>
      <c r="G24" t="s">
        <v>173</v>
      </c>
      <c r="H24" t="s">
        <v>174</v>
      </c>
      <c r="I24" t="s">
        <v>89</v>
      </c>
      <c r="J24" t="s">
        <v>37</v>
      </c>
      <c r="K24" t="s">
        <v>156</v>
      </c>
      <c r="L24" t="s">
        <v>175</v>
      </c>
      <c r="M24">
        <f t="shared" si="0"/>
        <v>0</v>
      </c>
    </row>
    <row r="25" spans="1:13">
      <c r="A25" t="s">
        <v>176</v>
      </c>
      <c r="B25" t="s">
        <v>177</v>
      </c>
      <c r="C25" t="s">
        <v>178</v>
      </c>
      <c r="D25" t="s">
        <v>179</v>
      </c>
      <c r="E25" t="s">
        <v>58</v>
      </c>
      <c r="F25" t="s">
        <v>180</v>
      </c>
      <c r="G25" t="s">
        <v>60</v>
      </c>
      <c r="H25" t="s">
        <v>181</v>
      </c>
      <c r="I25" t="s">
        <v>45</v>
      </c>
      <c r="J25" t="s">
        <v>62</v>
      </c>
      <c r="K25" t="s">
        <v>46</v>
      </c>
      <c r="L25" t="s">
        <v>182</v>
      </c>
      <c r="M25">
        <f t="shared" si="0"/>
        <v>1</v>
      </c>
    </row>
    <row r="26" spans="1:13">
      <c r="A26" t="s">
        <v>183</v>
      </c>
      <c r="B26" t="s">
        <v>184</v>
      </c>
      <c r="C26" t="s">
        <v>178</v>
      </c>
      <c r="D26" t="s">
        <v>185</v>
      </c>
      <c r="E26" t="s">
        <v>16</v>
      </c>
      <c r="F26" t="s">
        <v>186</v>
      </c>
      <c r="G26" t="s">
        <v>187</v>
      </c>
      <c r="H26" t="s">
        <v>188</v>
      </c>
      <c r="I26" t="s">
        <v>45</v>
      </c>
      <c r="J26" t="s">
        <v>21</v>
      </c>
      <c r="K26" t="s">
        <v>46</v>
      </c>
      <c r="L26" t="s">
        <v>189</v>
      </c>
      <c r="M26">
        <f t="shared" si="0"/>
        <v>0.5</v>
      </c>
    </row>
    <row r="27" spans="1:13">
      <c r="A27" t="s">
        <v>190</v>
      </c>
      <c r="B27" t="s">
        <v>191</v>
      </c>
      <c r="C27" t="s">
        <v>178</v>
      </c>
      <c r="D27" t="s">
        <v>192</v>
      </c>
      <c r="E27" t="s">
        <v>16</v>
      </c>
      <c r="F27" t="s">
        <v>193</v>
      </c>
      <c r="G27" t="s">
        <v>194</v>
      </c>
      <c r="H27" t="s">
        <v>195</v>
      </c>
      <c r="I27" t="s">
        <v>196</v>
      </c>
      <c r="J27" t="s">
        <v>21</v>
      </c>
      <c r="K27" t="s">
        <v>90</v>
      </c>
      <c r="L27" t="s">
        <v>197</v>
      </c>
      <c r="M27">
        <f t="shared" si="0"/>
        <v>0.5</v>
      </c>
    </row>
    <row r="28" spans="1:13">
      <c r="A28" t="s">
        <v>198</v>
      </c>
      <c r="B28" t="s">
        <v>199</v>
      </c>
      <c r="C28" t="s">
        <v>178</v>
      </c>
      <c r="D28" t="s">
        <v>200</v>
      </c>
      <c r="E28" t="s">
        <v>16</v>
      </c>
      <c r="F28" t="s">
        <v>201</v>
      </c>
      <c r="G28" t="s">
        <v>202</v>
      </c>
      <c r="H28" t="s">
        <v>203</v>
      </c>
      <c r="I28" t="s">
        <v>204</v>
      </c>
      <c r="J28" t="s">
        <v>37</v>
      </c>
      <c r="K28" t="s">
        <v>46</v>
      </c>
      <c r="L28" t="s">
        <v>205</v>
      </c>
      <c r="M28">
        <f t="shared" si="0"/>
        <v>0.5</v>
      </c>
    </row>
    <row r="29" spans="1:13">
      <c r="A29" t="s">
        <v>206</v>
      </c>
      <c r="B29" t="s">
        <v>207</v>
      </c>
      <c r="C29" t="s">
        <v>178</v>
      </c>
      <c r="D29" t="s">
        <v>208</v>
      </c>
      <c r="E29" t="s">
        <v>16</v>
      </c>
      <c r="F29" t="s">
        <v>209</v>
      </c>
      <c r="G29" t="s">
        <v>210</v>
      </c>
      <c r="H29" t="s">
        <v>211</v>
      </c>
      <c r="I29" t="s">
        <v>212</v>
      </c>
      <c r="J29" t="s">
        <v>37</v>
      </c>
      <c r="K29" t="s">
        <v>90</v>
      </c>
      <c r="L29" t="s">
        <v>213</v>
      </c>
      <c r="M29">
        <f t="shared" si="0"/>
        <v>0.5</v>
      </c>
    </row>
    <row r="30" spans="1:13">
      <c r="A30" t="s">
        <v>214</v>
      </c>
      <c r="B30" t="s">
        <v>215</v>
      </c>
      <c r="C30" t="s">
        <v>178</v>
      </c>
      <c r="D30" t="s">
        <v>216</v>
      </c>
      <c r="E30" t="s">
        <v>58</v>
      </c>
      <c r="F30" t="s">
        <v>217</v>
      </c>
      <c r="G30" t="s">
        <v>60</v>
      </c>
      <c r="H30" t="s">
        <v>218</v>
      </c>
      <c r="I30" t="s">
        <v>20</v>
      </c>
      <c r="J30" t="s">
        <v>62</v>
      </c>
      <c r="K30" t="s">
        <v>46</v>
      </c>
      <c r="L30" t="s">
        <v>219</v>
      </c>
      <c r="M30">
        <f t="shared" si="0"/>
        <v>1</v>
      </c>
    </row>
    <row r="31" spans="1:13">
      <c r="A31" t="s">
        <v>220</v>
      </c>
      <c r="B31" t="s">
        <v>221</v>
      </c>
      <c r="C31" t="s">
        <v>178</v>
      </c>
      <c r="D31" t="s">
        <v>222</v>
      </c>
      <c r="E31" t="s">
        <v>16</v>
      </c>
      <c r="F31" t="s">
        <v>223</v>
      </c>
      <c r="G31" t="s">
        <v>224</v>
      </c>
      <c r="H31" t="s">
        <v>225</v>
      </c>
      <c r="I31" t="s">
        <v>204</v>
      </c>
      <c r="J31" t="s">
        <v>37</v>
      </c>
      <c r="K31" t="s">
        <v>46</v>
      </c>
      <c r="L31" t="s">
        <v>226</v>
      </c>
      <c r="M31">
        <f t="shared" si="0"/>
        <v>0.5</v>
      </c>
    </row>
    <row r="32" spans="1:13">
      <c r="A32" t="s">
        <v>227</v>
      </c>
      <c r="B32" t="s">
        <v>228</v>
      </c>
      <c r="C32" t="s">
        <v>178</v>
      </c>
      <c r="D32" t="s">
        <v>229</v>
      </c>
      <c r="E32" t="s">
        <v>16</v>
      </c>
      <c r="F32" t="s">
        <v>230</v>
      </c>
      <c r="G32" t="s">
        <v>231</v>
      </c>
      <c r="H32" t="s">
        <v>232</v>
      </c>
      <c r="I32" t="s">
        <v>233</v>
      </c>
      <c r="J32" t="s">
        <v>37</v>
      </c>
      <c r="K32" t="s">
        <v>90</v>
      </c>
      <c r="L32" t="s">
        <v>234</v>
      </c>
      <c r="M32">
        <f t="shared" si="0"/>
        <v>0.5</v>
      </c>
    </row>
    <row r="33" spans="1:13">
      <c r="A33" t="s">
        <v>235</v>
      </c>
      <c r="B33" t="s">
        <v>236</v>
      </c>
      <c r="C33" t="s">
        <v>178</v>
      </c>
      <c r="D33" t="s">
        <v>237</v>
      </c>
      <c r="E33" t="s">
        <v>16</v>
      </c>
      <c r="F33" t="s">
        <v>238</v>
      </c>
      <c r="G33" t="s">
        <v>239</v>
      </c>
      <c r="H33" t="s">
        <v>240</v>
      </c>
      <c r="I33" t="s">
        <v>241</v>
      </c>
      <c r="J33" t="s">
        <v>37</v>
      </c>
      <c r="K33" t="s">
        <v>156</v>
      </c>
      <c r="L33" t="s">
        <v>242</v>
      </c>
      <c r="M33">
        <f t="shared" si="0"/>
        <v>0.5</v>
      </c>
    </row>
    <row r="34" spans="1:13">
      <c r="A34" t="s">
        <v>243</v>
      </c>
      <c r="B34" t="s">
        <v>244</v>
      </c>
      <c r="C34" t="s">
        <v>178</v>
      </c>
      <c r="D34" t="s">
        <v>245</v>
      </c>
      <c r="E34" t="s">
        <v>16</v>
      </c>
      <c r="F34" t="s">
        <v>246</v>
      </c>
      <c r="G34" t="s">
        <v>247</v>
      </c>
      <c r="H34" t="s">
        <v>248</v>
      </c>
      <c r="I34" t="s">
        <v>249</v>
      </c>
      <c r="J34" t="s">
        <v>37</v>
      </c>
      <c r="K34" t="s">
        <v>90</v>
      </c>
      <c r="L34" t="s">
        <v>250</v>
      </c>
      <c r="M34">
        <f t="shared" si="0"/>
        <v>0.5</v>
      </c>
    </row>
    <row r="35" spans="1:13">
      <c r="A35" t="s">
        <v>251</v>
      </c>
      <c r="B35" t="s">
        <v>252</v>
      </c>
      <c r="C35" t="s">
        <v>178</v>
      </c>
      <c r="D35" t="s">
        <v>253</v>
      </c>
      <c r="E35" t="s">
        <v>58</v>
      </c>
      <c r="F35" t="s">
        <v>254</v>
      </c>
      <c r="G35" t="s">
        <v>60</v>
      </c>
      <c r="H35" t="s">
        <v>255</v>
      </c>
      <c r="I35" t="s">
        <v>20</v>
      </c>
      <c r="J35" t="s">
        <v>62</v>
      </c>
      <c r="K35" t="s">
        <v>46</v>
      </c>
      <c r="L35" t="s">
        <v>256</v>
      </c>
      <c r="M35">
        <f t="shared" si="0"/>
        <v>1</v>
      </c>
    </row>
    <row r="36" spans="1:13">
      <c r="A36" t="s">
        <v>257</v>
      </c>
      <c r="B36" t="s">
        <v>258</v>
      </c>
      <c r="C36" t="s">
        <v>178</v>
      </c>
      <c r="D36" t="s">
        <v>259</v>
      </c>
      <c r="E36" t="s">
        <v>16</v>
      </c>
      <c r="F36" t="s">
        <v>260</v>
      </c>
      <c r="G36" t="s">
        <v>261</v>
      </c>
      <c r="H36" t="s">
        <v>262</v>
      </c>
      <c r="I36" t="s">
        <v>263</v>
      </c>
      <c r="J36" t="s">
        <v>21</v>
      </c>
      <c r="K36" t="s">
        <v>90</v>
      </c>
      <c r="L36" t="s">
        <v>264</v>
      </c>
      <c r="M36">
        <f t="shared" si="0"/>
        <v>0.5</v>
      </c>
    </row>
    <row r="37" spans="1:13">
      <c r="A37" t="s">
        <v>265</v>
      </c>
      <c r="B37" t="s">
        <v>266</v>
      </c>
      <c r="C37" t="s">
        <v>178</v>
      </c>
      <c r="D37" t="s">
        <v>267</v>
      </c>
      <c r="E37" t="s">
        <v>16</v>
      </c>
      <c r="F37" t="s">
        <v>268</v>
      </c>
      <c r="G37" t="s">
        <v>269</v>
      </c>
      <c r="H37" t="s">
        <v>270</v>
      </c>
      <c r="I37" t="s">
        <v>271</v>
      </c>
      <c r="J37" t="s">
        <v>37</v>
      </c>
      <c r="K37" t="s">
        <v>156</v>
      </c>
      <c r="L37" t="s">
        <v>272</v>
      </c>
      <c r="M37">
        <f t="shared" si="0"/>
        <v>0.5</v>
      </c>
    </row>
    <row r="38" spans="1:13">
      <c r="A38" t="s">
        <v>273</v>
      </c>
      <c r="B38" t="s">
        <v>274</v>
      </c>
      <c r="C38" t="s">
        <v>178</v>
      </c>
      <c r="D38" t="s">
        <v>275</v>
      </c>
      <c r="E38" t="s">
        <v>16</v>
      </c>
      <c r="F38" t="s">
        <v>276</v>
      </c>
      <c r="G38" t="s">
        <v>277</v>
      </c>
      <c r="H38" t="s">
        <v>278</v>
      </c>
      <c r="I38" t="s">
        <v>29</v>
      </c>
      <c r="J38" t="s">
        <v>37</v>
      </c>
      <c r="K38" t="s">
        <v>46</v>
      </c>
      <c r="L38" t="s">
        <v>279</v>
      </c>
      <c r="M38">
        <f t="shared" si="0"/>
        <v>0.5</v>
      </c>
    </row>
    <row r="39" spans="1:13">
      <c r="A39" t="s">
        <v>280</v>
      </c>
      <c r="B39" t="s">
        <v>281</v>
      </c>
      <c r="C39" t="s">
        <v>178</v>
      </c>
      <c r="D39" t="s">
        <v>282</v>
      </c>
      <c r="E39" t="s">
        <v>33</v>
      </c>
      <c r="F39" t="s">
        <v>151</v>
      </c>
      <c r="G39" t="s">
        <v>283</v>
      </c>
      <c r="H39" t="s">
        <v>284</v>
      </c>
      <c r="I39" t="s">
        <v>154</v>
      </c>
      <c r="J39" t="s">
        <v>155</v>
      </c>
      <c r="K39" t="s">
        <v>156</v>
      </c>
      <c r="L39" t="s">
        <v>285</v>
      </c>
      <c r="M39">
        <f t="shared" si="0"/>
        <v>0</v>
      </c>
    </row>
    <row r="40" spans="1:13">
      <c r="A40" t="s">
        <v>286</v>
      </c>
      <c r="B40" t="s">
        <v>287</v>
      </c>
      <c r="C40" t="s">
        <v>288</v>
      </c>
      <c r="D40" t="s">
        <v>289</v>
      </c>
      <c r="E40" t="s">
        <v>58</v>
      </c>
      <c r="F40" t="s">
        <v>290</v>
      </c>
      <c r="G40" t="s">
        <v>60</v>
      </c>
      <c r="H40" t="s">
        <v>291</v>
      </c>
      <c r="I40" t="s">
        <v>103</v>
      </c>
      <c r="J40" t="s">
        <v>62</v>
      </c>
      <c r="K40" t="s">
        <v>46</v>
      </c>
      <c r="L40" t="s">
        <v>292</v>
      </c>
      <c r="M40">
        <f t="shared" si="0"/>
        <v>1</v>
      </c>
    </row>
    <row r="41" spans="1:13">
      <c r="A41" t="s">
        <v>293</v>
      </c>
      <c r="B41" t="s">
        <v>294</v>
      </c>
      <c r="C41" t="s">
        <v>288</v>
      </c>
      <c r="D41" t="s">
        <v>295</v>
      </c>
      <c r="E41" t="s">
        <v>58</v>
      </c>
      <c r="F41" t="s">
        <v>296</v>
      </c>
      <c r="G41" t="s">
        <v>60</v>
      </c>
      <c r="H41" t="s">
        <v>297</v>
      </c>
      <c r="I41" t="s">
        <v>109</v>
      </c>
      <c r="J41" t="s">
        <v>62</v>
      </c>
      <c r="K41" t="s">
        <v>46</v>
      </c>
      <c r="L41" t="s">
        <v>298</v>
      </c>
      <c r="M41">
        <f t="shared" si="0"/>
        <v>1</v>
      </c>
    </row>
    <row r="42" spans="1:13">
      <c r="A42" t="s">
        <v>299</v>
      </c>
      <c r="B42" t="s">
        <v>300</v>
      </c>
      <c r="C42" t="s">
        <v>288</v>
      </c>
      <c r="D42" t="s">
        <v>301</v>
      </c>
      <c r="E42" t="s">
        <v>16</v>
      </c>
      <c r="F42" t="s">
        <v>302</v>
      </c>
      <c r="G42" t="s">
        <v>303</v>
      </c>
      <c r="H42" t="s">
        <v>304</v>
      </c>
      <c r="I42" t="s">
        <v>103</v>
      </c>
      <c r="J42" t="s">
        <v>21</v>
      </c>
      <c r="K42" t="s">
        <v>46</v>
      </c>
      <c r="L42" t="s">
        <v>305</v>
      </c>
      <c r="M42">
        <f t="shared" si="0"/>
        <v>0.5</v>
      </c>
    </row>
    <row r="43" spans="1:13">
      <c r="A43" t="s">
        <v>306</v>
      </c>
      <c r="B43" t="s">
        <v>307</v>
      </c>
      <c r="C43" t="s">
        <v>288</v>
      </c>
      <c r="D43" t="s">
        <v>308</v>
      </c>
      <c r="E43" t="s">
        <v>58</v>
      </c>
      <c r="F43" t="s">
        <v>309</v>
      </c>
      <c r="G43" t="s">
        <v>60</v>
      </c>
      <c r="H43" t="s">
        <v>310</v>
      </c>
      <c r="I43" t="s">
        <v>204</v>
      </c>
      <c r="J43" t="s">
        <v>62</v>
      </c>
      <c r="K43" t="s">
        <v>46</v>
      </c>
      <c r="L43" t="s">
        <v>311</v>
      </c>
      <c r="M43">
        <f t="shared" si="0"/>
        <v>1</v>
      </c>
    </row>
    <row r="44" spans="1:13">
      <c r="A44" t="s">
        <v>312</v>
      </c>
      <c r="B44" t="s">
        <v>313</v>
      </c>
      <c r="C44" t="s">
        <v>288</v>
      </c>
      <c r="D44" t="s">
        <v>314</v>
      </c>
      <c r="E44" t="s">
        <v>58</v>
      </c>
      <c r="F44" t="s">
        <v>315</v>
      </c>
      <c r="G44" t="s">
        <v>60</v>
      </c>
      <c r="H44" t="s">
        <v>316</v>
      </c>
      <c r="I44" t="s">
        <v>196</v>
      </c>
      <c r="J44" t="s">
        <v>62</v>
      </c>
      <c r="K44" t="s">
        <v>46</v>
      </c>
      <c r="L44" t="s">
        <v>317</v>
      </c>
      <c r="M44">
        <f t="shared" si="0"/>
        <v>1</v>
      </c>
    </row>
    <row r="45" spans="1:13">
      <c r="A45" t="s">
        <v>318</v>
      </c>
      <c r="B45" t="s">
        <v>319</v>
      </c>
      <c r="C45" t="s">
        <v>320</v>
      </c>
      <c r="D45" t="s">
        <v>321</v>
      </c>
      <c r="E45" t="s">
        <v>58</v>
      </c>
      <c r="F45" t="s">
        <v>322</v>
      </c>
      <c r="G45" t="s">
        <v>60</v>
      </c>
      <c r="H45" t="s">
        <v>323</v>
      </c>
      <c r="I45" t="s">
        <v>324</v>
      </c>
      <c r="J45" t="s">
        <v>62</v>
      </c>
      <c r="K45" t="s">
        <v>46</v>
      </c>
      <c r="L45" t="s">
        <v>325</v>
      </c>
      <c r="M45">
        <f t="shared" si="0"/>
        <v>1</v>
      </c>
    </row>
    <row r="46" spans="1:13">
      <c r="A46" t="s">
        <v>326</v>
      </c>
      <c r="B46" t="s">
        <v>327</v>
      </c>
      <c r="C46" t="s">
        <v>320</v>
      </c>
      <c r="D46" t="s">
        <v>328</v>
      </c>
      <c r="E46" t="s">
        <v>58</v>
      </c>
      <c r="F46" t="s">
        <v>329</v>
      </c>
      <c r="G46" t="s">
        <v>60</v>
      </c>
      <c r="H46" t="s">
        <v>330</v>
      </c>
      <c r="I46" t="s">
        <v>324</v>
      </c>
      <c r="J46" t="s">
        <v>62</v>
      </c>
      <c r="K46" t="s">
        <v>46</v>
      </c>
      <c r="L46" t="s">
        <v>331</v>
      </c>
      <c r="M46">
        <f t="shared" si="0"/>
        <v>1</v>
      </c>
    </row>
    <row r="47" spans="1:13">
      <c r="A47" t="s">
        <v>332</v>
      </c>
      <c r="B47" t="s">
        <v>333</v>
      </c>
      <c r="C47" t="s">
        <v>320</v>
      </c>
      <c r="D47" t="s">
        <v>334</v>
      </c>
      <c r="E47" t="s">
        <v>16</v>
      </c>
      <c r="F47" t="s">
        <v>335</v>
      </c>
      <c r="G47" t="s">
        <v>336</v>
      </c>
      <c r="H47" t="s">
        <v>337</v>
      </c>
      <c r="I47" t="s">
        <v>324</v>
      </c>
      <c r="J47" t="s">
        <v>21</v>
      </c>
      <c r="K47" t="s">
        <v>90</v>
      </c>
      <c r="L47" t="s">
        <v>338</v>
      </c>
      <c r="M47">
        <f t="shared" si="0"/>
        <v>0.5</v>
      </c>
    </row>
    <row r="48" spans="1:13">
      <c r="A48" t="s">
        <v>339</v>
      </c>
      <c r="B48" t="s">
        <v>340</v>
      </c>
      <c r="C48" t="s">
        <v>320</v>
      </c>
      <c r="D48" t="s">
        <v>341</v>
      </c>
      <c r="E48" t="s">
        <v>16</v>
      </c>
      <c r="F48" t="s">
        <v>342</v>
      </c>
      <c r="G48" t="s">
        <v>343</v>
      </c>
      <c r="H48" t="s">
        <v>344</v>
      </c>
      <c r="I48" t="s">
        <v>324</v>
      </c>
      <c r="J48" t="s">
        <v>62</v>
      </c>
      <c r="K48" t="s">
        <v>90</v>
      </c>
      <c r="L48" t="s">
        <v>345</v>
      </c>
      <c r="M48">
        <f t="shared" si="0"/>
        <v>0.5</v>
      </c>
    </row>
    <row r="49" spans="1:13">
      <c r="A49" t="s">
        <v>346</v>
      </c>
      <c r="B49" t="s">
        <v>347</v>
      </c>
      <c r="C49" t="s">
        <v>348</v>
      </c>
      <c r="D49" t="s">
        <v>349</v>
      </c>
      <c r="E49" t="s">
        <v>16</v>
      </c>
      <c r="F49" t="s">
        <v>350</v>
      </c>
      <c r="G49" t="s">
        <v>351</v>
      </c>
      <c r="H49" t="s">
        <v>352</v>
      </c>
      <c r="I49" t="s">
        <v>20</v>
      </c>
      <c r="J49" t="s">
        <v>155</v>
      </c>
      <c r="K49" t="s">
        <v>46</v>
      </c>
      <c r="L49" t="s">
        <v>353</v>
      </c>
      <c r="M49">
        <f t="shared" si="0"/>
        <v>0.5</v>
      </c>
    </row>
    <row r="50" spans="1:13">
      <c r="A50" t="s">
        <v>354</v>
      </c>
      <c r="B50" t="s">
        <v>355</v>
      </c>
      <c r="C50" t="s">
        <v>348</v>
      </c>
      <c r="D50" t="s">
        <v>356</v>
      </c>
      <c r="E50" t="s">
        <v>16</v>
      </c>
      <c r="F50" t="s">
        <v>357</v>
      </c>
      <c r="G50" t="s">
        <v>358</v>
      </c>
      <c r="H50" t="s">
        <v>359</v>
      </c>
      <c r="I50" t="s">
        <v>360</v>
      </c>
      <c r="J50" t="s">
        <v>37</v>
      </c>
      <c r="K50" t="s">
        <v>46</v>
      </c>
      <c r="L50" t="s">
        <v>361</v>
      </c>
      <c r="M50">
        <f t="shared" si="0"/>
        <v>0.5</v>
      </c>
    </row>
    <row r="51" spans="1:13">
      <c r="A51" t="s">
        <v>362</v>
      </c>
      <c r="B51" t="s">
        <v>363</v>
      </c>
      <c r="C51" t="s">
        <v>348</v>
      </c>
      <c r="D51" t="s">
        <v>364</v>
      </c>
      <c r="E51" t="s">
        <v>58</v>
      </c>
      <c r="F51" t="s">
        <v>365</v>
      </c>
      <c r="G51" t="s">
        <v>60</v>
      </c>
      <c r="H51" t="s">
        <v>366</v>
      </c>
      <c r="I51" t="s">
        <v>196</v>
      </c>
      <c r="J51" t="s">
        <v>62</v>
      </c>
      <c r="K51" t="s">
        <v>46</v>
      </c>
      <c r="L51" t="s">
        <v>367</v>
      </c>
      <c r="M51">
        <f t="shared" si="0"/>
        <v>1</v>
      </c>
    </row>
    <row r="52" spans="1:13">
      <c r="A52" t="s">
        <v>368</v>
      </c>
      <c r="B52" t="s">
        <v>369</v>
      </c>
      <c r="C52" t="s">
        <v>348</v>
      </c>
      <c r="D52" t="s">
        <v>370</v>
      </c>
      <c r="E52" t="s">
        <v>16</v>
      </c>
      <c r="F52" t="s">
        <v>371</v>
      </c>
      <c r="G52" t="s">
        <v>372</v>
      </c>
      <c r="H52" t="s">
        <v>373</v>
      </c>
      <c r="I52" t="s">
        <v>374</v>
      </c>
      <c r="J52" t="s">
        <v>155</v>
      </c>
      <c r="K52" t="s">
        <v>46</v>
      </c>
      <c r="L52" t="s">
        <v>375</v>
      </c>
      <c r="M52">
        <f t="shared" si="0"/>
        <v>0.5</v>
      </c>
    </row>
    <row r="53" spans="1:13">
      <c r="A53" t="s">
        <v>376</v>
      </c>
      <c r="B53" t="s">
        <v>377</v>
      </c>
      <c r="C53" t="s">
        <v>348</v>
      </c>
      <c r="D53" t="s">
        <v>378</v>
      </c>
      <c r="E53" t="s">
        <v>16</v>
      </c>
      <c r="F53" t="s">
        <v>379</v>
      </c>
      <c r="G53" t="s">
        <v>380</v>
      </c>
      <c r="H53" t="s">
        <v>381</v>
      </c>
      <c r="I53" t="s">
        <v>249</v>
      </c>
      <c r="J53" t="s">
        <v>37</v>
      </c>
      <c r="K53" t="s">
        <v>90</v>
      </c>
      <c r="L53" t="s">
        <v>382</v>
      </c>
      <c r="M53">
        <f t="shared" si="0"/>
        <v>0.5</v>
      </c>
    </row>
    <row r="54" spans="1:13">
      <c r="A54" t="s">
        <v>383</v>
      </c>
      <c r="B54" t="s">
        <v>384</v>
      </c>
      <c r="C54" t="s">
        <v>348</v>
      </c>
      <c r="D54" t="s">
        <v>385</v>
      </c>
      <c r="E54" t="s">
        <v>16</v>
      </c>
      <c r="F54" t="s">
        <v>386</v>
      </c>
      <c r="G54" t="s">
        <v>387</v>
      </c>
      <c r="H54" t="s">
        <v>388</v>
      </c>
      <c r="I54" t="s">
        <v>271</v>
      </c>
      <c r="J54" t="s">
        <v>37</v>
      </c>
      <c r="K54" t="s">
        <v>46</v>
      </c>
      <c r="L54" t="s">
        <v>389</v>
      </c>
      <c r="M54">
        <f t="shared" si="0"/>
        <v>0.5</v>
      </c>
    </row>
    <row r="55" spans="1:13">
      <c r="A55" t="s">
        <v>390</v>
      </c>
      <c r="B55" t="s">
        <v>391</v>
      </c>
      <c r="C55" t="s">
        <v>348</v>
      </c>
      <c r="D55" t="s">
        <v>392</v>
      </c>
      <c r="E55" t="s">
        <v>16</v>
      </c>
      <c r="F55" t="s">
        <v>393</v>
      </c>
      <c r="G55" t="s">
        <v>394</v>
      </c>
      <c r="H55" t="s">
        <v>395</v>
      </c>
      <c r="I55" t="s">
        <v>196</v>
      </c>
      <c r="J55" t="s">
        <v>37</v>
      </c>
      <c r="K55" t="s">
        <v>90</v>
      </c>
      <c r="L55" t="s">
        <v>396</v>
      </c>
      <c r="M55">
        <f t="shared" si="0"/>
        <v>0.5</v>
      </c>
    </row>
    <row r="56" spans="1:13">
      <c r="A56" t="s">
        <v>397</v>
      </c>
      <c r="B56" t="s">
        <v>398</v>
      </c>
      <c r="C56" t="s">
        <v>348</v>
      </c>
      <c r="D56" t="s">
        <v>399</v>
      </c>
      <c r="E56" t="s">
        <v>16</v>
      </c>
      <c r="F56" t="s">
        <v>400</v>
      </c>
      <c r="G56" t="s">
        <v>401</v>
      </c>
      <c r="H56" t="s">
        <v>402</v>
      </c>
      <c r="I56" t="s">
        <v>196</v>
      </c>
      <c r="J56" t="s">
        <v>37</v>
      </c>
      <c r="K56" t="s">
        <v>90</v>
      </c>
      <c r="L56" t="s">
        <v>403</v>
      </c>
      <c r="M56">
        <f t="shared" si="0"/>
        <v>0.5</v>
      </c>
    </row>
    <row r="57" spans="1:13">
      <c r="A57" t="s">
        <v>404</v>
      </c>
      <c r="B57" t="s">
        <v>405</v>
      </c>
      <c r="C57" t="s">
        <v>348</v>
      </c>
      <c r="D57" t="s">
        <v>406</v>
      </c>
      <c r="E57" t="s">
        <v>58</v>
      </c>
      <c r="F57" t="s">
        <v>407</v>
      </c>
      <c r="G57" t="s">
        <v>60</v>
      </c>
      <c r="H57" t="s">
        <v>408</v>
      </c>
      <c r="I57" t="s">
        <v>409</v>
      </c>
      <c r="J57" t="s">
        <v>62</v>
      </c>
      <c r="K57" t="s">
        <v>46</v>
      </c>
      <c r="L57" t="s">
        <v>410</v>
      </c>
      <c r="M57">
        <f t="shared" si="0"/>
        <v>1</v>
      </c>
    </row>
    <row r="58" spans="1:13">
      <c r="A58" t="s">
        <v>411</v>
      </c>
      <c r="B58" t="s">
        <v>412</v>
      </c>
      <c r="C58" t="s">
        <v>348</v>
      </c>
      <c r="D58" t="s">
        <v>413</v>
      </c>
      <c r="E58" t="s">
        <v>16</v>
      </c>
      <c r="F58" t="s">
        <v>414</v>
      </c>
      <c r="G58" t="s">
        <v>415</v>
      </c>
      <c r="H58" t="s">
        <v>416</v>
      </c>
      <c r="I58" t="s">
        <v>249</v>
      </c>
      <c r="J58" t="s">
        <v>21</v>
      </c>
      <c r="K58" t="s">
        <v>90</v>
      </c>
      <c r="L58" t="s">
        <v>417</v>
      </c>
      <c r="M58">
        <f t="shared" si="0"/>
        <v>0.5</v>
      </c>
    </row>
    <row r="59" spans="1:13">
      <c r="A59" t="s">
        <v>418</v>
      </c>
      <c r="B59" t="s">
        <v>419</v>
      </c>
      <c r="C59" t="s">
        <v>348</v>
      </c>
      <c r="D59" t="s">
        <v>420</v>
      </c>
      <c r="E59" t="s">
        <v>16</v>
      </c>
      <c r="F59" t="s">
        <v>421</v>
      </c>
      <c r="G59" t="s">
        <v>422</v>
      </c>
      <c r="H59" t="s">
        <v>423</v>
      </c>
      <c r="I59" t="s">
        <v>424</v>
      </c>
      <c r="J59" t="s">
        <v>37</v>
      </c>
      <c r="K59" t="s">
        <v>156</v>
      </c>
      <c r="L59" t="s">
        <v>425</v>
      </c>
      <c r="M59">
        <f t="shared" si="0"/>
        <v>0.5</v>
      </c>
    </row>
    <row r="60" spans="1:13">
      <c r="A60" t="s">
        <v>426</v>
      </c>
      <c r="B60" t="s">
        <v>427</v>
      </c>
      <c r="C60" t="s">
        <v>348</v>
      </c>
      <c r="D60" t="s">
        <v>428</v>
      </c>
      <c r="E60" t="s">
        <v>16</v>
      </c>
      <c r="F60" t="s">
        <v>429</v>
      </c>
      <c r="G60" t="s">
        <v>430</v>
      </c>
      <c r="H60" t="s">
        <v>431</v>
      </c>
      <c r="I60" t="s">
        <v>432</v>
      </c>
      <c r="J60" t="s">
        <v>21</v>
      </c>
      <c r="K60" t="s">
        <v>156</v>
      </c>
      <c r="L60" t="s">
        <v>433</v>
      </c>
      <c r="M60">
        <f t="shared" si="0"/>
        <v>0.5</v>
      </c>
    </row>
    <row r="61" spans="1:13">
      <c r="M61" t="str">
        <f t="shared" si="0"/>
        <v/>
      </c>
    </row>
  </sheetData>
  <dataValidations count="1">
    <dataValidation type="list" allowBlank="1" showInputMessage="1" showErrorMessage="1" sqref="E2:E60 J2:J60" xr:uid="{09CDCC81-3A56-425A-8949-07A670BE3156}">
      <formula1>"Implemented,Partially Implemented,Not Implemented,Not Applicable"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C5FA-1EEE-4C08-B433-AA231FCB459C}">
  <dimension ref="A1:K26"/>
  <sheetViews>
    <sheetView workbookViewId="0">
      <selection activeCell="H31" sqref="H31"/>
    </sheetView>
  </sheetViews>
  <sheetFormatPr defaultRowHeight="15"/>
  <sheetData>
    <row r="1" spans="1:1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9</v>
      </c>
      <c r="G1" t="s">
        <v>10</v>
      </c>
      <c r="H1" t="s">
        <v>439</v>
      </c>
      <c r="I1" t="s">
        <v>440</v>
      </c>
      <c r="J1" t="s">
        <v>441</v>
      </c>
      <c r="K1" t="s">
        <v>442</v>
      </c>
    </row>
    <row r="2" spans="1:11">
      <c r="A2" t="s">
        <v>443</v>
      </c>
      <c r="B2" s="9">
        <v>4.3</v>
      </c>
      <c r="C2" t="s">
        <v>35</v>
      </c>
      <c r="D2" t="s">
        <v>444</v>
      </c>
      <c r="E2" t="s">
        <v>20</v>
      </c>
      <c r="F2" t="s">
        <v>37</v>
      </c>
      <c r="G2" t="s">
        <v>38</v>
      </c>
      <c r="H2" t="s">
        <v>445</v>
      </c>
      <c r="I2" s="10">
        <v>0.6</v>
      </c>
      <c r="J2" t="s">
        <v>446</v>
      </c>
      <c r="K2" t="s">
        <v>447</v>
      </c>
    </row>
    <row r="3" spans="1:11">
      <c r="A3" t="s">
        <v>448</v>
      </c>
      <c r="B3" s="9">
        <v>4.4000000000000004</v>
      </c>
      <c r="C3" t="s">
        <v>449</v>
      </c>
      <c r="D3" t="s">
        <v>450</v>
      </c>
      <c r="E3" t="s">
        <v>45</v>
      </c>
      <c r="F3" t="s">
        <v>37</v>
      </c>
      <c r="G3" t="s">
        <v>46</v>
      </c>
      <c r="H3" t="s">
        <v>445</v>
      </c>
      <c r="I3" s="10">
        <v>0.35</v>
      </c>
      <c r="J3" t="s">
        <v>451</v>
      </c>
      <c r="K3" t="s">
        <v>452</v>
      </c>
    </row>
    <row r="4" spans="1:11">
      <c r="A4" t="s">
        <v>453</v>
      </c>
      <c r="B4" s="9">
        <v>5.0999999999999996</v>
      </c>
      <c r="C4" t="s">
        <v>454</v>
      </c>
      <c r="D4" t="s">
        <v>455</v>
      </c>
      <c r="E4" t="s">
        <v>54</v>
      </c>
      <c r="F4" t="s">
        <v>37</v>
      </c>
      <c r="G4" t="s">
        <v>46</v>
      </c>
      <c r="H4" t="s">
        <v>445</v>
      </c>
      <c r="I4" s="10">
        <v>0.3</v>
      </c>
      <c r="J4" t="s">
        <v>456</v>
      </c>
      <c r="K4" t="s">
        <v>457</v>
      </c>
    </row>
    <row r="5" spans="1:11">
      <c r="A5" t="s">
        <v>458</v>
      </c>
      <c r="B5" s="9">
        <v>6.1</v>
      </c>
      <c r="C5" t="s">
        <v>459</v>
      </c>
      <c r="D5" t="s">
        <v>460</v>
      </c>
      <c r="E5" t="s">
        <v>76</v>
      </c>
      <c r="F5" t="s">
        <v>37</v>
      </c>
      <c r="G5" t="s">
        <v>22</v>
      </c>
      <c r="H5" t="s">
        <v>445</v>
      </c>
      <c r="I5" s="10">
        <v>0.55000000000000004</v>
      </c>
      <c r="J5" t="s">
        <v>461</v>
      </c>
      <c r="K5" t="s">
        <v>462</v>
      </c>
    </row>
    <row r="6" spans="1:11">
      <c r="A6" t="s">
        <v>463</v>
      </c>
      <c r="B6" s="9">
        <v>7.5</v>
      </c>
      <c r="C6" t="s">
        <v>464</v>
      </c>
      <c r="D6" t="s">
        <v>121</v>
      </c>
      <c r="E6" t="s">
        <v>89</v>
      </c>
      <c r="F6" t="s">
        <v>37</v>
      </c>
      <c r="G6" t="s">
        <v>46</v>
      </c>
      <c r="H6" t="s">
        <v>445</v>
      </c>
      <c r="I6" s="10">
        <v>0.4</v>
      </c>
      <c r="J6" t="s">
        <v>465</v>
      </c>
      <c r="K6" t="s">
        <v>466</v>
      </c>
    </row>
    <row r="7" spans="1:11">
      <c r="A7" t="s">
        <v>467</v>
      </c>
      <c r="B7" s="9">
        <v>8.1</v>
      </c>
      <c r="C7" t="s">
        <v>468</v>
      </c>
      <c r="D7" t="s">
        <v>469</v>
      </c>
      <c r="E7" t="s">
        <v>20</v>
      </c>
      <c r="F7" t="s">
        <v>37</v>
      </c>
      <c r="G7" t="s">
        <v>90</v>
      </c>
      <c r="H7" t="s">
        <v>470</v>
      </c>
      <c r="I7" s="10">
        <v>0</v>
      </c>
      <c r="J7" t="s">
        <v>471</v>
      </c>
      <c r="K7" t="s">
        <v>472</v>
      </c>
    </row>
    <row r="8" spans="1:11">
      <c r="A8" t="s">
        <v>473</v>
      </c>
      <c r="B8" s="9">
        <v>8.1999999999999993</v>
      </c>
      <c r="C8" t="s">
        <v>474</v>
      </c>
      <c r="D8" t="s">
        <v>475</v>
      </c>
      <c r="E8" t="s">
        <v>76</v>
      </c>
      <c r="F8" t="s">
        <v>37</v>
      </c>
      <c r="G8" t="s">
        <v>46</v>
      </c>
      <c r="H8" t="s">
        <v>445</v>
      </c>
      <c r="I8" s="10">
        <v>0.35</v>
      </c>
      <c r="J8" t="s">
        <v>476</v>
      </c>
      <c r="K8" t="s">
        <v>477</v>
      </c>
    </row>
    <row r="9" spans="1:11">
      <c r="A9" t="s">
        <v>478</v>
      </c>
      <c r="B9" s="9">
        <v>8.3000000000000007</v>
      </c>
      <c r="C9" t="s">
        <v>479</v>
      </c>
      <c r="D9" t="s">
        <v>480</v>
      </c>
      <c r="E9" t="s">
        <v>76</v>
      </c>
      <c r="F9" t="s">
        <v>37</v>
      </c>
      <c r="G9" t="s">
        <v>90</v>
      </c>
      <c r="H9" t="s">
        <v>445</v>
      </c>
      <c r="I9" s="10">
        <v>0.25</v>
      </c>
      <c r="J9" t="s">
        <v>481</v>
      </c>
      <c r="K9" t="s">
        <v>482</v>
      </c>
    </row>
    <row r="10" spans="1:11">
      <c r="A10" t="s">
        <v>483</v>
      </c>
      <c r="B10" s="9">
        <v>9.1999999999999993</v>
      </c>
      <c r="C10" t="s">
        <v>152</v>
      </c>
      <c r="D10" t="s">
        <v>484</v>
      </c>
      <c r="E10" t="s">
        <v>154</v>
      </c>
      <c r="F10" t="s">
        <v>155</v>
      </c>
      <c r="G10" t="s">
        <v>156</v>
      </c>
      <c r="H10" t="s">
        <v>470</v>
      </c>
      <c r="I10" s="10">
        <v>0</v>
      </c>
      <c r="J10" t="s">
        <v>485</v>
      </c>
      <c r="K10" t="s">
        <v>486</v>
      </c>
    </row>
    <row r="11" spans="1:11">
      <c r="A11" t="s">
        <v>487</v>
      </c>
      <c r="B11" s="9">
        <v>9.3000000000000007</v>
      </c>
      <c r="C11" t="s">
        <v>160</v>
      </c>
      <c r="D11" t="s">
        <v>488</v>
      </c>
      <c r="E11" t="s">
        <v>45</v>
      </c>
      <c r="F11" t="s">
        <v>155</v>
      </c>
      <c r="G11" t="s">
        <v>156</v>
      </c>
      <c r="H11" t="s">
        <v>470</v>
      </c>
      <c r="I11" s="10">
        <v>0</v>
      </c>
      <c r="J11" t="s">
        <v>489</v>
      </c>
      <c r="K11" t="s">
        <v>490</v>
      </c>
    </row>
    <row r="12" spans="1:11">
      <c r="A12" t="s">
        <v>491</v>
      </c>
      <c r="B12" s="9">
        <v>10.199999999999999</v>
      </c>
      <c r="C12" t="s">
        <v>173</v>
      </c>
      <c r="D12" t="s">
        <v>492</v>
      </c>
      <c r="E12" t="s">
        <v>89</v>
      </c>
      <c r="F12" t="s">
        <v>37</v>
      </c>
      <c r="G12" t="s">
        <v>156</v>
      </c>
      <c r="H12" t="s">
        <v>470</v>
      </c>
      <c r="I12" s="10">
        <v>0</v>
      </c>
      <c r="J12" t="s">
        <v>493</v>
      </c>
      <c r="K12" t="s">
        <v>494</v>
      </c>
    </row>
    <row r="13" spans="1:11">
      <c r="A13" t="s">
        <v>495</v>
      </c>
      <c r="B13" t="s">
        <v>198</v>
      </c>
      <c r="C13" t="s">
        <v>496</v>
      </c>
      <c r="D13" t="s">
        <v>203</v>
      </c>
      <c r="E13" t="s">
        <v>204</v>
      </c>
      <c r="F13" t="s">
        <v>37</v>
      </c>
      <c r="G13" t="s">
        <v>46</v>
      </c>
      <c r="H13" t="s">
        <v>445</v>
      </c>
      <c r="I13" s="10">
        <v>0.45</v>
      </c>
      <c r="J13" t="s">
        <v>497</v>
      </c>
      <c r="K13" t="s">
        <v>498</v>
      </c>
    </row>
    <row r="14" spans="1:11">
      <c r="A14" t="s">
        <v>499</v>
      </c>
      <c r="B14" t="s">
        <v>206</v>
      </c>
      <c r="C14" t="s">
        <v>500</v>
      </c>
      <c r="D14" t="s">
        <v>501</v>
      </c>
      <c r="E14" t="s">
        <v>212</v>
      </c>
      <c r="F14" t="s">
        <v>37</v>
      </c>
      <c r="G14" t="s">
        <v>90</v>
      </c>
      <c r="H14" t="s">
        <v>445</v>
      </c>
      <c r="I14" s="10">
        <v>0.3</v>
      </c>
      <c r="J14" t="s">
        <v>502</v>
      </c>
      <c r="K14" t="s">
        <v>503</v>
      </c>
    </row>
    <row r="15" spans="1:11">
      <c r="A15" t="s">
        <v>504</v>
      </c>
      <c r="B15" t="s">
        <v>220</v>
      </c>
      <c r="C15" t="s">
        <v>505</v>
      </c>
      <c r="D15" t="s">
        <v>506</v>
      </c>
      <c r="E15" t="s">
        <v>204</v>
      </c>
      <c r="F15" t="s">
        <v>37</v>
      </c>
      <c r="G15" t="s">
        <v>46</v>
      </c>
      <c r="H15" t="s">
        <v>445</v>
      </c>
      <c r="I15" s="10">
        <v>0.5</v>
      </c>
      <c r="J15" t="s">
        <v>507</v>
      </c>
      <c r="K15" t="s">
        <v>508</v>
      </c>
    </row>
    <row r="16" spans="1:11">
      <c r="A16" t="s">
        <v>509</v>
      </c>
      <c r="B16" t="s">
        <v>227</v>
      </c>
      <c r="C16" t="s">
        <v>510</v>
      </c>
      <c r="D16" t="s">
        <v>511</v>
      </c>
      <c r="E16" t="s">
        <v>233</v>
      </c>
      <c r="F16" t="s">
        <v>37</v>
      </c>
      <c r="G16" t="s">
        <v>90</v>
      </c>
      <c r="H16" t="s">
        <v>445</v>
      </c>
      <c r="I16" s="10">
        <v>0.35</v>
      </c>
      <c r="J16" t="s">
        <v>512</v>
      </c>
      <c r="K16" t="s">
        <v>513</v>
      </c>
    </row>
    <row r="17" spans="1:11">
      <c r="A17" t="s">
        <v>514</v>
      </c>
      <c r="B17" t="s">
        <v>243</v>
      </c>
      <c r="C17" t="s">
        <v>515</v>
      </c>
      <c r="D17" t="s">
        <v>248</v>
      </c>
      <c r="E17" t="s">
        <v>249</v>
      </c>
      <c r="F17" t="s">
        <v>37</v>
      </c>
      <c r="G17" t="s">
        <v>90</v>
      </c>
      <c r="H17" t="s">
        <v>445</v>
      </c>
      <c r="I17" s="10">
        <v>0.4</v>
      </c>
      <c r="J17" t="s">
        <v>516</v>
      </c>
      <c r="K17" t="s">
        <v>517</v>
      </c>
    </row>
    <row r="18" spans="1:11">
      <c r="A18" t="s">
        <v>518</v>
      </c>
      <c r="B18" t="s">
        <v>280</v>
      </c>
      <c r="C18" t="s">
        <v>283</v>
      </c>
      <c r="D18" t="s">
        <v>519</v>
      </c>
      <c r="E18" t="s">
        <v>154</v>
      </c>
      <c r="F18" t="s">
        <v>155</v>
      </c>
      <c r="G18" t="s">
        <v>156</v>
      </c>
      <c r="H18" t="s">
        <v>470</v>
      </c>
      <c r="I18" s="10">
        <v>0</v>
      </c>
      <c r="J18" t="s">
        <v>520</v>
      </c>
      <c r="K18" t="s">
        <v>521</v>
      </c>
    </row>
    <row r="19" spans="1:11">
      <c r="A19" t="s">
        <v>522</v>
      </c>
      <c r="B19" t="s">
        <v>346</v>
      </c>
      <c r="C19" t="s">
        <v>523</v>
      </c>
      <c r="D19" t="s">
        <v>352</v>
      </c>
      <c r="E19" t="s">
        <v>20</v>
      </c>
      <c r="F19" t="s">
        <v>155</v>
      </c>
      <c r="G19" t="s">
        <v>46</v>
      </c>
      <c r="H19" t="s">
        <v>445</v>
      </c>
      <c r="I19" s="10">
        <v>0.25</v>
      </c>
      <c r="J19" t="s">
        <v>524</v>
      </c>
      <c r="K19" t="s">
        <v>525</v>
      </c>
    </row>
    <row r="20" spans="1:11">
      <c r="A20" t="s">
        <v>526</v>
      </c>
      <c r="B20" t="s">
        <v>354</v>
      </c>
      <c r="C20" t="s">
        <v>358</v>
      </c>
      <c r="D20" t="s">
        <v>527</v>
      </c>
      <c r="E20" t="s">
        <v>360</v>
      </c>
      <c r="F20" t="s">
        <v>37</v>
      </c>
      <c r="G20" t="s">
        <v>46</v>
      </c>
      <c r="H20" t="s">
        <v>445</v>
      </c>
      <c r="I20" s="10">
        <v>0.6</v>
      </c>
      <c r="J20" t="s">
        <v>528</v>
      </c>
      <c r="K20" t="s">
        <v>529</v>
      </c>
    </row>
    <row r="21" spans="1:11">
      <c r="A21" t="s">
        <v>530</v>
      </c>
      <c r="B21" t="s">
        <v>368</v>
      </c>
      <c r="C21" t="s">
        <v>372</v>
      </c>
      <c r="D21" t="s">
        <v>373</v>
      </c>
      <c r="E21" t="s">
        <v>374</v>
      </c>
      <c r="F21" t="s">
        <v>155</v>
      </c>
      <c r="G21" t="s">
        <v>46</v>
      </c>
      <c r="H21" t="s">
        <v>445</v>
      </c>
      <c r="I21" s="10">
        <v>0.45</v>
      </c>
      <c r="J21" t="s">
        <v>531</v>
      </c>
      <c r="K21" t="s">
        <v>532</v>
      </c>
    </row>
    <row r="22" spans="1:11">
      <c r="A22" t="s">
        <v>533</v>
      </c>
      <c r="B22" t="s">
        <v>376</v>
      </c>
      <c r="C22" t="s">
        <v>534</v>
      </c>
      <c r="D22" t="s">
        <v>381</v>
      </c>
      <c r="E22" t="s">
        <v>249</v>
      </c>
      <c r="F22" t="s">
        <v>37</v>
      </c>
      <c r="G22" t="s">
        <v>90</v>
      </c>
      <c r="H22" t="s">
        <v>445</v>
      </c>
      <c r="I22" s="10">
        <v>0.35</v>
      </c>
      <c r="J22" t="s">
        <v>535</v>
      </c>
      <c r="K22" t="s">
        <v>536</v>
      </c>
    </row>
    <row r="23" spans="1:11">
      <c r="A23" t="s">
        <v>537</v>
      </c>
      <c r="B23" t="s">
        <v>383</v>
      </c>
      <c r="C23" t="s">
        <v>538</v>
      </c>
      <c r="D23" t="s">
        <v>388</v>
      </c>
      <c r="E23" t="s">
        <v>271</v>
      </c>
      <c r="F23" t="s">
        <v>37</v>
      </c>
      <c r="G23" t="s">
        <v>46</v>
      </c>
      <c r="H23" t="s">
        <v>445</v>
      </c>
      <c r="I23" s="10">
        <v>0.5</v>
      </c>
      <c r="J23" t="s">
        <v>539</v>
      </c>
      <c r="K23" t="s">
        <v>540</v>
      </c>
    </row>
    <row r="24" spans="1:11">
      <c r="A24" t="s">
        <v>541</v>
      </c>
      <c r="B24" t="s">
        <v>390</v>
      </c>
      <c r="C24" t="s">
        <v>542</v>
      </c>
      <c r="D24" t="s">
        <v>395</v>
      </c>
      <c r="E24" t="s">
        <v>196</v>
      </c>
      <c r="F24" t="s">
        <v>37</v>
      </c>
      <c r="G24" t="s">
        <v>90</v>
      </c>
      <c r="H24" t="s">
        <v>445</v>
      </c>
      <c r="I24" s="10">
        <v>0.4</v>
      </c>
      <c r="J24" t="s">
        <v>543</v>
      </c>
      <c r="K24" t="s">
        <v>544</v>
      </c>
    </row>
    <row r="25" spans="1:11">
      <c r="A25" t="s">
        <v>545</v>
      </c>
      <c r="B25" t="s">
        <v>397</v>
      </c>
      <c r="C25" t="s">
        <v>546</v>
      </c>
      <c r="D25" t="s">
        <v>547</v>
      </c>
      <c r="E25" t="s">
        <v>196</v>
      </c>
      <c r="F25" t="s">
        <v>37</v>
      </c>
      <c r="G25" t="s">
        <v>90</v>
      </c>
      <c r="H25" t="s">
        <v>445</v>
      </c>
      <c r="I25" s="10">
        <v>0.3</v>
      </c>
      <c r="J25" t="s">
        <v>548</v>
      </c>
      <c r="K25" t="s">
        <v>549</v>
      </c>
    </row>
    <row r="26" spans="1:11">
      <c r="A26" t="s">
        <v>550</v>
      </c>
      <c r="B26" t="s">
        <v>418</v>
      </c>
      <c r="C26" t="s">
        <v>551</v>
      </c>
      <c r="D26" t="s">
        <v>552</v>
      </c>
      <c r="E26" t="s">
        <v>424</v>
      </c>
      <c r="F26" t="s">
        <v>37</v>
      </c>
      <c r="G26" t="s">
        <v>156</v>
      </c>
      <c r="H26" t="s">
        <v>445</v>
      </c>
      <c r="I26" s="10">
        <v>0.25</v>
      </c>
      <c r="J26" t="s">
        <v>553</v>
      </c>
      <c r="K26" t="s">
        <v>554</v>
      </c>
    </row>
  </sheetData>
  <dataValidations count="2">
    <dataValidation type="list" allowBlank="1" showInputMessage="1" showErrorMessage="1" sqref="F2:F26" xr:uid="{E5C89099-A6D9-4CA6-9BA6-9B46364D2572}">
      <formula1>"Critical,High,Medium,Low"</formula1>
    </dataValidation>
    <dataValidation type="list" allowBlank="1" showInputMessage="1" showErrorMessage="1" sqref="H2:H26" xr:uid="{97C12642-3C07-454D-AB22-E0F30F7B67E1}">
      <formula1>"Not Started,In Progress,Monitoring,Completed,On Hold"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7C06-27FD-4CD3-BD80-A8601371CD45}">
  <dimension ref="A1:K37"/>
  <sheetViews>
    <sheetView tabSelected="1" workbookViewId="0">
      <selection sqref="A1:XFD1"/>
    </sheetView>
  </sheetViews>
  <sheetFormatPr defaultRowHeight="15"/>
  <sheetData>
    <row r="1" spans="1:11" s="32" customFormat="1" ht="60.75">
      <c r="A1" s="32" t="s">
        <v>555</v>
      </c>
      <c r="B1" s="32" t="s">
        <v>435</v>
      </c>
      <c r="C1" s="32" t="s">
        <v>556</v>
      </c>
      <c r="D1" s="32" t="s">
        <v>557</v>
      </c>
      <c r="E1" s="32" t="s">
        <v>558</v>
      </c>
      <c r="F1" s="32" t="s">
        <v>559</v>
      </c>
      <c r="G1" s="32" t="s">
        <v>560</v>
      </c>
      <c r="H1" s="32" t="s">
        <v>561</v>
      </c>
      <c r="I1" s="32" t="s">
        <v>562</v>
      </c>
      <c r="J1" s="32" t="s">
        <v>563</v>
      </c>
      <c r="K1" s="32" t="s">
        <v>11</v>
      </c>
    </row>
    <row r="2" spans="1:11">
      <c r="A2" t="s">
        <v>564</v>
      </c>
      <c r="B2">
        <v>4.3</v>
      </c>
      <c r="C2" t="s">
        <v>565</v>
      </c>
      <c r="D2" t="s">
        <v>566</v>
      </c>
      <c r="E2" t="s">
        <v>20</v>
      </c>
      <c r="F2" t="s">
        <v>567</v>
      </c>
      <c r="H2" t="s">
        <v>38</v>
      </c>
      <c r="I2" t="s">
        <v>568</v>
      </c>
      <c r="J2" t="s">
        <v>569</v>
      </c>
      <c r="K2" t="s">
        <v>570</v>
      </c>
    </row>
    <row r="3" spans="1:11">
      <c r="A3" t="s">
        <v>571</v>
      </c>
      <c r="B3">
        <v>4.4000000000000004</v>
      </c>
      <c r="C3" t="s">
        <v>572</v>
      </c>
      <c r="D3" t="s">
        <v>566</v>
      </c>
      <c r="E3" t="s">
        <v>45</v>
      </c>
      <c r="F3" t="s">
        <v>567</v>
      </c>
      <c r="H3" t="s">
        <v>46</v>
      </c>
      <c r="I3" t="s">
        <v>568</v>
      </c>
      <c r="J3" t="s">
        <v>569</v>
      </c>
      <c r="K3" t="s">
        <v>573</v>
      </c>
    </row>
    <row r="4" spans="1:11">
      <c r="A4" t="s">
        <v>574</v>
      </c>
      <c r="B4">
        <v>5.2</v>
      </c>
      <c r="C4" t="s">
        <v>575</v>
      </c>
      <c r="D4" t="s">
        <v>576</v>
      </c>
      <c r="E4" t="s">
        <v>45</v>
      </c>
      <c r="F4" t="s">
        <v>567</v>
      </c>
      <c r="G4" t="s">
        <v>577</v>
      </c>
      <c r="H4" t="s">
        <v>578</v>
      </c>
      <c r="I4" t="s">
        <v>579</v>
      </c>
      <c r="J4" t="s">
        <v>580</v>
      </c>
      <c r="K4" t="s">
        <v>581</v>
      </c>
    </row>
    <row r="5" spans="1:11">
      <c r="A5" t="s">
        <v>582</v>
      </c>
      <c r="B5">
        <v>5.3</v>
      </c>
      <c r="C5" t="s">
        <v>583</v>
      </c>
      <c r="D5" t="s">
        <v>566</v>
      </c>
      <c r="E5" t="s">
        <v>45</v>
      </c>
      <c r="F5" t="s">
        <v>567</v>
      </c>
      <c r="H5" t="s">
        <v>46</v>
      </c>
      <c r="I5" t="s">
        <v>568</v>
      </c>
      <c r="J5" t="s">
        <v>569</v>
      </c>
      <c r="K5" t="s">
        <v>584</v>
      </c>
    </row>
    <row r="6" spans="1:11">
      <c r="A6" t="s">
        <v>585</v>
      </c>
      <c r="B6">
        <v>6.1</v>
      </c>
      <c r="C6" t="s">
        <v>586</v>
      </c>
      <c r="D6" t="s">
        <v>587</v>
      </c>
      <c r="E6" t="s">
        <v>76</v>
      </c>
      <c r="F6" t="s">
        <v>567</v>
      </c>
      <c r="H6" t="s">
        <v>22</v>
      </c>
      <c r="I6" t="s">
        <v>588</v>
      </c>
      <c r="J6" t="s">
        <v>589</v>
      </c>
      <c r="K6" t="s">
        <v>590</v>
      </c>
    </row>
    <row r="7" spans="1:11">
      <c r="A7" t="s">
        <v>591</v>
      </c>
      <c r="B7">
        <v>6.2</v>
      </c>
      <c r="C7" t="s">
        <v>592</v>
      </c>
      <c r="D7" t="s">
        <v>593</v>
      </c>
      <c r="E7" t="s">
        <v>45</v>
      </c>
      <c r="F7" t="s">
        <v>594</v>
      </c>
      <c r="H7" t="s">
        <v>46</v>
      </c>
      <c r="I7" t="s">
        <v>588</v>
      </c>
      <c r="J7" t="s">
        <v>595</v>
      </c>
      <c r="K7" t="s">
        <v>596</v>
      </c>
    </row>
    <row r="8" spans="1:11">
      <c r="A8" t="s">
        <v>597</v>
      </c>
      <c r="B8">
        <v>7.2</v>
      </c>
      <c r="C8" t="s">
        <v>598</v>
      </c>
      <c r="D8" t="s">
        <v>599</v>
      </c>
      <c r="E8" t="s">
        <v>103</v>
      </c>
      <c r="F8" t="s">
        <v>567</v>
      </c>
      <c r="H8" t="s">
        <v>90</v>
      </c>
      <c r="I8" t="s">
        <v>568</v>
      </c>
      <c r="J8" t="s">
        <v>600</v>
      </c>
      <c r="K8" t="s">
        <v>601</v>
      </c>
    </row>
    <row r="9" spans="1:11">
      <c r="A9" t="s">
        <v>602</v>
      </c>
      <c r="B9">
        <v>7.3</v>
      </c>
      <c r="C9" t="s">
        <v>603</v>
      </c>
      <c r="D9" t="s">
        <v>604</v>
      </c>
      <c r="E9" t="s">
        <v>109</v>
      </c>
      <c r="F9" t="s">
        <v>567</v>
      </c>
      <c r="G9" t="s">
        <v>605</v>
      </c>
      <c r="H9" t="s">
        <v>606</v>
      </c>
      <c r="I9" t="s">
        <v>579</v>
      </c>
      <c r="J9" t="s">
        <v>607</v>
      </c>
      <c r="K9" t="s">
        <v>608</v>
      </c>
    </row>
    <row r="10" spans="1:11">
      <c r="A10" t="s">
        <v>609</v>
      </c>
      <c r="B10">
        <v>7.5</v>
      </c>
      <c r="C10" t="s">
        <v>610</v>
      </c>
      <c r="D10" t="s">
        <v>611</v>
      </c>
      <c r="E10" t="s">
        <v>89</v>
      </c>
      <c r="F10" t="s">
        <v>567</v>
      </c>
      <c r="H10" t="s">
        <v>46</v>
      </c>
      <c r="I10" t="s">
        <v>588</v>
      </c>
      <c r="J10" t="s">
        <v>612</v>
      </c>
      <c r="K10" t="s">
        <v>613</v>
      </c>
    </row>
    <row r="11" spans="1:11">
      <c r="A11" t="s">
        <v>614</v>
      </c>
      <c r="B11">
        <v>8.1999999999999993</v>
      </c>
      <c r="C11" t="s">
        <v>615</v>
      </c>
      <c r="D11" t="s">
        <v>616</v>
      </c>
      <c r="E11" t="s">
        <v>76</v>
      </c>
      <c r="F11" t="s">
        <v>567</v>
      </c>
      <c r="H11" t="s">
        <v>46</v>
      </c>
      <c r="I11" t="s">
        <v>588</v>
      </c>
      <c r="J11" t="s">
        <v>589</v>
      </c>
      <c r="K11" t="s">
        <v>617</v>
      </c>
    </row>
    <row r="12" spans="1:11">
      <c r="A12" t="s">
        <v>618</v>
      </c>
      <c r="B12">
        <v>8.3000000000000007</v>
      </c>
      <c r="C12" t="s">
        <v>619</v>
      </c>
      <c r="D12" t="s">
        <v>616</v>
      </c>
      <c r="E12" t="s">
        <v>76</v>
      </c>
      <c r="F12" t="s">
        <v>594</v>
      </c>
      <c r="H12" t="s">
        <v>90</v>
      </c>
      <c r="I12" t="s">
        <v>568</v>
      </c>
      <c r="J12" t="s">
        <v>589</v>
      </c>
      <c r="K12" t="s">
        <v>620</v>
      </c>
    </row>
    <row r="13" spans="1:11">
      <c r="A13" t="s">
        <v>621</v>
      </c>
      <c r="B13">
        <v>9.1</v>
      </c>
      <c r="C13" t="s">
        <v>622</v>
      </c>
      <c r="D13" t="s">
        <v>593</v>
      </c>
      <c r="E13" t="s">
        <v>89</v>
      </c>
      <c r="F13" t="s">
        <v>623</v>
      </c>
      <c r="G13" t="s">
        <v>624</v>
      </c>
      <c r="H13" t="s">
        <v>625</v>
      </c>
      <c r="I13" t="s">
        <v>579</v>
      </c>
      <c r="J13" t="s">
        <v>595</v>
      </c>
      <c r="K13" t="s">
        <v>626</v>
      </c>
    </row>
    <row r="14" spans="1:11">
      <c r="A14" t="s">
        <v>627</v>
      </c>
      <c r="B14">
        <v>9.1999999999999993</v>
      </c>
      <c r="C14" t="s">
        <v>628</v>
      </c>
      <c r="D14" t="s">
        <v>629</v>
      </c>
      <c r="E14" t="s">
        <v>154</v>
      </c>
      <c r="F14" t="s">
        <v>567</v>
      </c>
      <c r="H14" t="s">
        <v>156</v>
      </c>
      <c r="I14" t="s">
        <v>568</v>
      </c>
      <c r="J14" t="s">
        <v>630</v>
      </c>
      <c r="K14" t="s">
        <v>631</v>
      </c>
    </row>
    <row r="15" spans="1:11">
      <c r="A15" t="s">
        <v>632</v>
      </c>
      <c r="B15">
        <v>9.1999999999999993</v>
      </c>
      <c r="C15" t="s">
        <v>633</v>
      </c>
      <c r="D15" t="s">
        <v>629</v>
      </c>
      <c r="E15" t="s">
        <v>154</v>
      </c>
      <c r="F15" t="s">
        <v>567</v>
      </c>
      <c r="H15" t="s">
        <v>156</v>
      </c>
      <c r="I15" t="s">
        <v>568</v>
      </c>
      <c r="J15" t="s">
        <v>630</v>
      </c>
      <c r="K15" t="s">
        <v>634</v>
      </c>
    </row>
    <row r="16" spans="1:11">
      <c r="A16" t="s">
        <v>635</v>
      </c>
      <c r="B16">
        <v>9.3000000000000007</v>
      </c>
      <c r="C16" t="s">
        <v>636</v>
      </c>
      <c r="D16" t="s">
        <v>637</v>
      </c>
      <c r="E16" t="s">
        <v>45</v>
      </c>
      <c r="F16" t="s">
        <v>567</v>
      </c>
      <c r="H16" t="s">
        <v>156</v>
      </c>
      <c r="I16" t="s">
        <v>568</v>
      </c>
      <c r="J16" t="s">
        <v>638</v>
      </c>
      <c r="K16" t="s">
        <v>639</v>
      </c>
    </row>
    <row r="17" spans="1:11">
      <c r="A17" t="s">
        <v>640</v>
      </c>
      <c r="B17">
        <v>10.199999999999999</v>
      </c>
      <c r="C17" t="s">
        <v>641</v>
      </c>
      <c r="D17" t="s">
        <v>642</v>
      </c>
      <c r="E17" t="s">
        <v>89</v>
      </c>
      <c r="F17" t="s">
        <v>623</v>
      </c>
      <c r="H17" t="s">
        <v>156</v>
      </c>
      <c r="I17" t="s">
        <v>568</v>
      </c>
      <c r="J17" t="s">
        <v>643</v>
      </c>
      <c r="K17" t="s">
        <v>644</v>
      </c>
    </row>
    <row r="18" spans="1:11">
      <c r="A18" t="s">
        <v>645</v>
      </c>
      <c r="B18" t="s">
        <v>198</v>
      </c>
      <c r="C18" t="s">
        <v>646</v>
      </c>
      <c r="D18" t="s">
        <v>647</v>
      </c>
      <c r="E18" t="s">
        <v>204</v>
      </c>
      <c r="F18" t="s">
        <v>594</v>
      </c>
      <c r="G18" t="s">
        <v>605</v>
      </c>
      <c r="H18" t="s">
        <v>625</v>
      </c>
      <c r="I18" t="s">
        <v>648</v>
      </c>
      <c r="J18" t="s">
        <v>649</v>
      </c>
      <c r="K18" t="s">
        <v>650</v>
      </c>
    </row>
    <row r="19" spans="1:11">
      <c r="A19" t="s">
        <v>651</v>
      </c>
      <c r="B19" t="s">
        <v>206</v>
      </c>
      <c r="C19" t="s">
        <v>652</v>
      </c>
      <c r="D19" t="s">
        <v>653</v>
      </c>
      <c r="E19" t="s">
        <v>212</v>
      </c>
      <c r="F19" t="s">
        <v>567</v>
      </c>
      <c r="H19" t="s">
        <v>90</v>
      </c>
      <c r="I19" t="s">
        <v>588</v>
      </c>
      <c r="J19" t="s">
        <v>654</v>
      </c>
      <c r="K19" t="s">
        <v>655</v>
      </c>
    </row>
    <row r="20" spans="1:11">
      <c r="A20" t="s">
        <v>656</v>
      </c>
      <c r="B20" t="s">
        <v>220</v>
      </c>
      <c r="C20" t="s">
        <v>657</v>
      </c>
      <c r="D20" t="s">
        <v>658</v>
      </c>
      <c r="E20" t="s">
        <v>204</v>
      </c>
      <c r="F20" t="s">
        <v>594</v>
      </c>
      <c r="H20" t="s">
        <v>46</v>
      </c>
      <c r="I20" t="s">
        <v>648</v>
      </c>
      <c r="J20" t="s">
        <v>659</v>
      </c>
      <c r="K20" t="s">
        <v>660</v>
      </c>
    </row>
    <row r="21" spans="1:11">
      <c r="A21" t="s">
        <v>661</v>
      </c>
      <c r="B21" t="s">
        <v>227</v>
      </c>
      <c r="C21" t="s">
        <v>662</v>
      </c>
      <c r="D21" t="s">
        <v>663</v>
      </c>
      <c r="E21" t="s">
        <v>233</v>
      </c>
      <c r="F21" t="s">
        <v>567</v>
      </c>
      <c r="H21" t="s">
        <v>90</v>
      </c>
      <c r="I21" t="s">
        <v>648</v>
      </c>
      <c r="J21" t="s">
        <v>664</v>
      </c>
      <c r="K21" t="s">
        <v>665</v>
      </c>
    </row>
    <row r="22" spans="1:11">
      <c r="A22" t="s">
        <v>666</v>
      </c>
      <c r="B22" t="s">
        <v>243</v>
      </c>
      <c r="C22" t="s">
        <v>667</v>
      </c>
      <c r="D22" t="s">
        <v>653</v>
      </c>
      <c r="E22" t="s">
        <v>249</v>
      </c>
      <c r="F22" t="s">
        <v>567</v>
      </c>
      <c r="H22" t="s">
        <v>90</v>
      </c>
      <c r="I22" t="s">
        <v>588</v>
      </c>
      <c r="J22" t="s">
        <v>668</v>
      </c>
      <c r="K22" t="s">
        <v>669</v>
      </c>
    </row>
    <row r="23" spans="1:11">
      <c r="A23" t="s">
        <v>670</v>
      </c>
      <c r="B23" t="s">
        <v>251</v>
      </c>
      <c r="C23" t="s">
        <v>671</v>
      </c>
      <c r="D23" t="s">
        <v>611</v>
      </c>
      <c r="E23" t="s">
        <v>20</v>
      </c>
      <c r="F23" t="s">
        <v>567</v>
      </c>
      <c r="G23" t="s">
        <v>672</v>
      </c>
      <c r="H23" t="s">
        <v>673</v>
      </c>
      <c r="I23" t="s">
        <v>579</v>
      </c>
      <c r="J23" t="s">
        <v>674</v>
      </c>
      <c r="K23" t="s">
        <v>675</v>
      </c>
    </row>
    <row r="24" spans="1:11">
      <c r="A24" t="s">
        <v>676</v>
      </c>
      <c r="B24" t="s">
        <v>265</v>
      </c>
      <c r="C24" t="s">
        <v>677</v>
      </c>
      <c r="D24" t="s">
        <v>678</v>
      </c>
      <c r="E24" t="s">
        <v>271</v>
      </c>
      <c r="F24" t="s">
        <v>567</v>
      </c>
      <c r="H24" t="s">
        <v>156</v>
      </c>
      <c r="I24" t="s">
        <v>568</v>
      </c>
      <c r="J24" t="s">
        <v>679</v>
      </c>
      <c r="K24" t="s">
        <v>680</v>
      </c>
    </row>
    <row r="25" spans="1:11">
      <c r="A25" t="s">
        <v>681</v>
      </c>
      <c r="B25" t="s">
        <v>280</v>
      </c>
      <c r="C25" t="s">
        <v>682</v>
      </c>
      <c r="D25" t="s">
        <v>629</v>
      </c>
      <c r="E25" t="s">
        <v>154</v>
      </c>
      <c r="F25" t="s">
        <v>567</v>
      </c>
      <c r="H25" t="s">
        <v>156</v>
      </c>
      <c r="I25" t="s">
        <v>568</v>
      </c>
      <c r="J25" t="s">
        <v>630</v>
      </c>
      <c r="K25" t="s">
        <v>683</v>
      </c>
    </row>
    <row r="26" spans="1:11">
      <c r="A26" t="s">
        <v>684</v>
      </c>
      <c r="B26" t="s">
        <v>286</v>
      </c>
      <c r="C26" t="s">
        <v>685</v>
      </c>
      <c r="D26" t="s">
        <v>599</v>
      </c>
      <c r="E26" t="s">
        <v>103</v>
      </c>
      <c r="F26" t="s">
        <v>686</v>
      </c>
      <c r="G26" s="11">
        <v>46031</v>
      </c>
      <c r="I26" t="s">
        <v>579</v>
      </c>
      <c r="J26" t="s">
        <v>687</v>
      </c>
      <c r="K26" t="s">
        <v>688</v>
      </c>
    </row>
    <row r="27" spans="1:11">
      <c r="A27" t="s">
        <v>689</v>
      </c>
      <c r="B27" t="s">
        <v>293</v>
      </c>
      <c r="C27" t="s">
        <v>690</v>
      </c>
      <c r="D27" t="s">
        <v>604</v>
      </c>
      <c r="E27" t="s">
        <v>109</v>
      </c>
      <c r="F27" t="s">
        <v>594</v>
      </c>
      <c r="G27" t="s">
        <v>605</v>
      </c>
      <c r="H27" t="s">
        <v>625</v>
      </c>
      <c r="I27" t="s">
        <v>579</v>
      </c>
      <c r="J27" t="s">
        <v>607</v>
      </c>
      <c r="K27" t="s">
        <v>691</v>
      </c>
    </row>
    <row r="28" spans="1:11">
      <c r="A28" t="s">
        <v>692</v>
      </c>
      <c r="B28" t="s">
        <v>326</v>
      </c>
      <c r="C28" t="s">
        <v>693</v>
      </c>
      <c r="D28" t="s">
        <v>694</v>
      </c>
      <c r="E28" t="s">
        <v>324</v>
      </c>
      <c r="F28" t="s">
        <v>594</v>
      </c>
      <c r="G28" t="s">
        <v>605</v>
      </c>
      <c r="H28" t="s">
        <v>625</v>
      </c>
      <c r="I28" t="s">
        <v>579</v>
      </c>
      <c r="J28" t="s">
        <v>695</v>
      </c>
      <c r="K28" t="s">
        <v>696</v>
      </c>
    </row>
    <row r="29" spans="1:11">
      <c r="A29" t="s">
        <v>697</v>
      </c>
      <c r="B29" t="s">
        <v>346</v>
      </c>
      <c r="C29" t="s">
        <v>698</v>
      </c>
      <c r="D29" t="s">
        <v>658</v>
      </c>
      <c r="E29" t="s">
        <v>20</v>
      </c>
      <c r="F29" t="s">
        <v>594</v>
      </c>
      <c r="H29" t="s">
        <v>46</v>
      </c>
      <c r="I29" t="s">
        <v>648</v>
      </c>
      <c r="J29" t="s">
        <v>659</v>
      </c>
      <c r="K29" t="s">
        <v>699</v>
      </c>
    </row>
    <row r="30" spans="1:11">
      <c r="A30" t="s">
        <v>700</v>
      </c>
      <c r="B30" t="s">
        <v>354</v>
      </c>
      <c r="C30" t="s">
        <v>701</v>
      </c>
      <c r="D30" t="s">
        <v>702</v>
      </c>
      <c r="E30" t="s">
        <v>360</v>
      </c>
      <c r="F30" t="s">
        <v>623</v>
      </c>
      <c r="G30" t="s">
        <v>624</v>
      </c>
      <c r="H30" t="s">
        <v>625</v>
      </c>
      <c r="I30" t="s">
        <v>648</v>
      </c>
      <c r="J30" t="s">
        <v>703</v>
      </c>
      <c r="K30" t="s">
        <v>704</v>
      </c>
    </row>
    <row r="31" spans="1:11">
      <c r="A31" t="s">
        <v>705</v>
      </c>
      <c r="B31" t="s">
        <v>362</v>
      </c>
      <c r="C31" t="s">
        <v>706</v>
      </c>
      <c r="D31" t="s">
        <v>702</v>
      </c>
      <c r="E31" t="s">
        <v>196</v>
      </c>
      <c r="F31" t="s">
        <v>623</v>
      </c>
      <c r="G31" t="s">
        <v>624</v>
      </c>
      <c r="H31" t="s">
        <v>625</v>
      </c>
      <c r="I31" t="s">
        <v>579</v>
      </c>
      <c r="J31" t="s">
        <v>707</v>
      </c>
      <c r="K31" t="s">
        <v>708</v>
      </c>
    </row>
    <row r="32" spans="1:11">
      <c r="A32" t="s">
        <v>709</v>
      </c>
      <c r="B32" t="s">
        <v>368</v>
      </c>
      <c r="C32" t="s">
        <v>710</v>
      </c>
      <c r="D32" t="s">
        <v>702</v>
      </c>
      <c r="E32" t="s">
        <v>374</v>
      </c>
      <c r="F32" t="s">
        <v>623</v>
      </c>
      <c r="G32" t="s">
        <v>624</v>
      </c>
      <c r="H32" t="s">
        <v>625</v>
      </c>
      <c r="I32" t="s">
        <v>648</v>
      </c>
      <c r="J32" t="s">
        <v>711</v>
      </c>
      <c r="K32" t="s">
        <v>712</v>
      </c>
    </row>
    <row r="33" spans="1:11">
      <c r="A33" t="s">
        <v>713</v>
      </c>
      <c r="B33" t="s">
        <v>376</v>
      </c>
      <c r="C33" t="s">
        <v>714</v>
      </c>
      <c r="D33" t="s">
        <v>653</v>
      </c>
      <c r="E33" t="s">
        <v>249</v>
      </c>
      <c r="F33" t="s">
        <v>567</v>
      </c>
      <c r="H33" t="s">
        <v>90</v>
      </c>
      <c r="I33" t="s">
        <v>588</v>
      </c>
      <c r="J33" t="s">
        <v>715</v>
      </c>
      <c r="K33" t="s">
        <v>716</v>
      </c>
    </row>
    <row r="34" spans="1:11">
      <c r="A34" t="s">
        <v>717</v>
      </c>
      <c r="B34" t="s">
        <v>383</v>
      </c>
      <c r="C34" t="s">
        <v>718</v>
      </c>
      <c r="D34" t="s">
        <v>678</v>
      </c>
      <c r="E34" t="s">
        <v>271</v>
      </c>
      <c r="F34" t="s">
        <v>594</v>
      </c>
      <c r="H34" t="s">
        <v>46</v>
      </c>
      <c r="I34" t="s">
        <v>648</v>
      </c>
      <c r="J34" t="s">
        <v>679</v>
      </c>
      <c r="K34" t="s">
        <v>719</v>
      </c>
    </row>
    <row r="35" spans="1:11">
      <c r="A35" t="s">
        <v>720</v>
      </c>
      <c r="B35" t="s">
        <v>390</v>
      </c>
      <c r="C35" t="s">
        <v>721</v>
      </c>
      <c r="D35" t="s">
        <v>653</v>
      </c>
      <c r="E35" t="s">
        <v>196</v>
      </c>
      <c r="F35" t="s">
        <v>567</v>
      </c>
      <c r="H35" t="s">
        <v>90</v>
      </c>
      <c r="I35" t="s">
        <v>588</v>
      </c>
      <c r="J35" t="s">
        <v>707</v>
      </c>
      <c r="K35" t="s">
        <v>722</v>
      </c>
    </row>
    <row r="36" spans="1:11">
      <c r="A36" t="s">
        <v>723</v>
      </c>
      <c r="B36" t="s">
        <v>397</v>
      </c>
      <c r="C36" t="s">
        <v>724</v>
      </c>
      <c r="D36" t="s">
        <v>702</v>
      </c>
      <c r="E36" t="s">
        <v>196</v>
      </c>
      <c r="F36" t="s">
        <v>594</v>
      </c>
      <c r="H36" t="s">
        <v>90</v>
      </c>
      <c r="I36" t="s">
        <v>588</v>
      </c>
      <c r="J36" t="s">
        <v>707</v>
      </c>
      <c r="K36" t="s">
        <v>725</v>
      </c>
    </row>
    <row r="37" spans="1:11">
      <c r="A37" t="s">
        <v>726</v>
      </c>
      <c r="B37" t="s">
        <v>418</v>
      </c>
      <c r="C37" t="s">
        <v>727</v>
      </c>
      <c r="D37" t="s">
        <v>653</v>
      </c>
      <c r="E37" t="s">
        <v>424</v>
      </c>
      <c r="F37" t="s">
        <v>567</v>
      </c>
      <c r="H37" t="s">
        <v>156</v>
      </c>
      <c r="I37" t="s">
        <v>588</v>
      </c>
      <c r="J37" t="s">
        <v>728</v>
      </c>
      <c r="K37" t="s">
        <v>729</v>
      </c>
    </row>
  </sheetData>
  <autoFilter ref="A1:K1" xr:uid="{4A447C06-27FD-4CD3-BD80-A8601371CD45}"/>
  <dataValidations count="1">
    <dataValidation type="list" allowBlank="1" showInputMessage="1" showErrorMessage="1" sqref="I2:I37" xr:uid="{DFCE31C6-8E92-4A96-B330-94F417CBD304}">
      <formula1>"Available,Partial,In Development,Required"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74DE-8B4A-4A0B-9208-A09B5FD43079}">
  <dimension ref="A1:I37"/>
  <sheetViews>
    <sheetView workbookViewId="0">
      <selection activeCell="K7" sqref="K7"/>
    </sheetView>
  </sheetViews>
  <sheetFormatPr defaultRowHeight="15"/>
  <cols>
    <col min="1" max="1" width="12.42578125" customWidth="1"/>
    <col min="2" max="2" width="14.85546875" style="13" customWidth="1"/>
    <col min="3" max="3" width="12.140625" style="13" customWidth="1"/>
    <col min="4" max="4" width="25.5703125" style="13" customWidth="1"/>
    <col min="5" max="5" width="17.7109375" style="13" customWidth="1"/>
    <col min="6" max="6" width="15.85546875" style="13" customWidth="1"/>
    <col min="7" max="7" width="16.140625" style="13" customWidth="1"/>
    <col min="8" max="8" width="12.85546875" style="13" customWidth="1"/>
    <col min="9" max="9" width="32" style="13" customWidth="1"/>
  </cols>
  <sheetData>
    <row r="1" spans="1:9" s="19" customFormat="1" ht="38.25" customHeight="1">
      <c r="A1" s="19" t="s">
        <v>730</v>
      </c>
      <c r="B1" s="19" t="s">
        <v>731</v>
      </c>
      <c r="C1" s="19" t="s">
        <v>732</v>
      </c>
      <c r="D1" s="19" t="s">
        <v>733</v>
      </c>
      <c r="E1" s="19" t="s">
        <v>4</v>
      </c>
      <c r="F1" s="19" t="s">
        <v>734</v>
      </c>
      <c r="G1" s="19" t="s">
        <v>8</v>
      </c>
      <c r="H1" s="19" t="s">
        <v>735</v>
      </c>
      <c r="I1" s="19" t="s">
        <v>736</v>
      </c>
    </row>
    <row r="2" spans="1:9" ht="60.75">
      <c r="A2" t="s">
        <v>176</v>
      </c>
      <c r="B2" s="13" t="s">
        <v>177</v>
      </c>
      <c r="C2" s="13" t="s">
        <v>737</v>
      </c>
      <c r="D2" s="13" t="s">
        <v>738</v>
      </c>
      <c r="E2" s="13" t="s">
        <v>58</v>
      </c>
      <c r="F2" s="13" t="s">
        <v>575</v>
      </c>
      <c r="G2" s="13" t="s">
        <v>45</v>
      </c>
      <c r="I2" s="13" t="s">
        <v>739</v>
      </c>
    </row>
    <row r="3" spans="1:9" ht="76.5">
      <c r="A3" t="s">
        <v>183</v>
      </c>
      <c r="B3" s="13" t="s">
        <v>184</v>
      </c>
      <c r="C3" s="13" t="s">
        <v>737</v>
      </c>
      <c r="D3" s="13" t="s">
        <v>740</v>
      </c>
      <c r="E3" s="13" t="s">
        <v>16</v>
      </c>
      <c r="F3" s="13" t="s">
        <v>741</v>
      </c>
      <c r="G3" s="13" t="s">
        <v>45</v>
      </c>
      <c r="I3" s="13" t="s">
        <v>742</v>
      </c>
    </row>
    <row r="4" spans="1:9" ht="60.75">
      <c r="A4" t="s">
        <v>190</v>
      </c>
      <c r="B4" s="13" t="s">
        <v>191</v>
      </c>
      <c r="C4" s="13" t="s">
        <v>737</v>
      </c>
      <c r="D4" s="13" t="s">
        <v>743</v>
      </c>
      <c r="E4" s="13" t="s">
        <v>16</v>
      </c>
      <c r="F4" s="13" t="s">
        <v>744</v>
      </c>
      <c r="G4" s="13" t="s">
        <v>196</v>
      </c>
      <c r="I4" s="13" t="s">
        <v>745</v>
      </c>
    </row>
    <row r="5" spans="1:9" ht="76.5">
      <c r="A5" t="s">
        <v>198</v>
      </c>
      <c r="B5" s="13" t="s">
        <v>199</v>
      </c>
      <c r="C5" s="13" t="s">
        <v>737</v>
      </c>
      <c r="D5" s="13" t="s">
        <v>746</v>
      </c>
      <c r="E5" s="13" t="s">
        <v>16</v>
      </c>
      <c r="F5" s="13" t="s">
        <v>646</v>
      </c>
      <c r="G5" s="13" t="s">
        <v>204</v>
      </c>
      <c r="H5" s="13" t="s">
        <v>495</v>
      </c>
      <c r="I5" s="13" t="s">
        <v>747</v>
      </c>
    </row>
    <row r="6" spans="1:9" ht="76.5">
      <c r="A6" t="s">
        <v>206</v>
      </c>
      <c r="B6" s="13" t="s">
        <v>207</v>
      </c>
      <c r="C6" s="13" t="s">
        <v>737</v>
      </c>
      <c r="D6" s="13" t="s">
        <v>748</v>
      </c>
      <c r="E6" s="13" t="s">
        <v>16</v>
      </c>
      <c r="F6" s="13" t="s">
        <v>749</v>
      </c>
      <c r="G6" s="13" t="s">
        <v>212</v>
      </c>
      <c r="H6" s="13" t="s">
        <v>499</v>
      </c>
      <c r="I6" s="13" t="s">
        <v>750</v>
      </c>
    </row>
    <row r="7" spans="1:9" ht="76.5">
      <c r="A7" t="s">
        <v>214</v>
      </c>
      <c r="B7" s="13" t="s">
        <v>215</v>
      </c>
      <c r="C7" s="13" t="s">
        <v>737</v>
      </c>
      <c r="D7" s="13" t="s">
        <v>751</v>
      </c>
      <c r="E7" s="13" t="s">
        <v>58</v>
      </c>
      <c r="F7" s="13" t="s">
        <v>752</v>
      </c>
      <c r="G7" s="13" t="s">
        <v>20</v>
      </c>
      <c r="I7" s="13" t="s">
        <v>753</v>
      </c>
    </row>
    <row r="8" spans="1:9" ht="60.75">
      <c r="A8" t="s">
        <v>220</v>
      </c>
      <c r="B8" s="13" t="s">
        <v>221</v>
      </c>
      <c r="C8" s="13" t="s">
        <v>737</v>
      </c>
      <c r="D8" s="13" t="s">
        <v>754</v>
      </c>
      <c r="E8" s="13" t="s">
        <v>16</v>
      </c>
      <c r="F8" s="13" t="s">
        <v>755</v>
      </c>
      <c r="G8" s="13" t="s">
        <v>204</v>
      </c>
      <c r="H8" s="13" t="s">
        <v>504</v>
      </c>
      <c r="I8" s="13" t="s">
        <v>756</v>
      </c>
    </row>
    <row r="9" spans="1:9" ht="76.5">
      <c r="A9" t="s">
        <v>227</v>
      </c>
      <c r="B9" s="13" t="s">
        <v>228</v>
      </c>
      <c r="C9" s="13" t="s">
        <v>737</v>
      </c>
      <c r="D9" s="13" t="s">
        <v>757</v>
      </c>
      <c r="E9" s="13" t="s">
        <v>16</v>
      </c>
      <c r="F9" s="13" t="s">
        <v>758</v>
      </c>
      <c r="G9" s="13" t="s">
        <v>233</v>
      </c>
      <c r="H9" s="13" t="s">
        <v>509</v>
      </c>
      <c r="I9" s="13" t="s">
        <v>759</v>
      </c>
    </row>
    <row r="10" spans="1:9" ht="76.5">
      <c r="A10" t="s">
        <v>235</v>
      </c>
      <c r="B10" s="13" t="s">
        <v>236</v>
      </c>
      <c r="C10" s="13" t="s">
        <v>737</v>
      </c>
      <c r="D10" s="13" t="s">
        <v>760</v>
      </c>
      <c r="E10" s="13" t="s">
        <v>16</v>
      </c>
      <c r="F10" s="13" t="s">
        <v>761</v>
      </c>
      <c r="G10" s="13" t="s">
        <v>241</v>
      </c>
      <c r="I10" s="13" t="s">
        <v>762</v>
      </c>
    </row>
    <row r="11" spans="1:9" ht="76.5">
      <c r="A11" t="s">
        <v>243</v>
      </c>
      <c r="B11" s="13" t="s">
        <v>244</v>
      </c>
      <c r="C11" s="13" t="s">
        <v>737</v>
      </c>
      <c r="D11" s="13" t="s">
        <v>763</v>
      </c>
      <c r="E11" s="13" t="s">
        <v>16</v>
      </c>
      <c r="F11" s="13" t="s">
        <v>764</v>
      </c>
      <c r="G11" s="13" t="s">
        <v>249</v>
      </c>
      <c r="H11" s="13" t="s">
        <v>514</v>
      </c>
      <c r="I11" s="13" t="s">
        <v>765</v>
      </c>
    </row>
    <row r="12" spans="1:9" ht="91.5">
      <c r="A12" t="s">
        <v>251</v>
      </c>
      <c r="B12" s="13" t="s">
        <v>252</v>
      </c>
      <c r="C12" s="13" t="s">
        <v>737</v>
      </c>
      <c r="D12" s="13" t="s">
        <v>766</v>
      </c>
      <c r="E12" s="13" t="s">
        <v>58</v>
      </c>
      <c r="F12" s="13" t="s">
        <v>671</v>
      </c>
      <c r="G12" s="13" t="s">
        <v>20</v>
      </c>
      <c r="I12" s="13" t="s">
        <v>767</v>
      </c>
    </row>
    <row r="13" spans="1:9" ht="76.5">
      <c r="A13" t="s">
        <v>257</v>
      </c>
      <c r="B13" s="13" t="s">
        <v>258</v>
      </c>
      <c r="C13" s="13" t="s">
        <v>737</v>
      </c>
      <c r="D13" s="13" t="s">
        <v>768</v>
      </c>
      <c r="E13" s="13" t="s">
        <v>16</v>
      </c>
      <c r="F13" s="13" t="s">
        <v>769</v>
      </c>
      <c r="G13" s="13" t="s">
        <v>263</v>
      </c>
      <c r="I13" s="13" t="s">
        <v>770</v>
      </c>
    </row>
    <row r="14" spans="1:9" ht="76.5">
      <c r="A14" t="s">
        <v>265</v>
      </c>
      <c r="B14" s="13" t="s">
        <v>266</v>
      </c>
      <c r="C14" s="13" t="s">
        <v>737</v>
      </c>
      <c r="D14" s="13" t="s">
        <v>771</v>
      </c>
      <c r="E14" s="13" t="s">
        <v>16</v>
      </c>
      <c r="F14" s="13" t="s">
        <v>772</v>
      </c>
      <c r="G14" s="13" t="s">
        <v>271</v>
      </c>
      <c r="I14" s="13" t="s">
        <v>773</v>
      </c>
    </row>
    <row r="15" spans="1:9" ht="76.5">
      <c r="A15" t="s">
        <v>273</v>
      </c>
      <c r="B15" s="13" t="s">
        <v>274</v>
      </c>
      <c r="C15" s="13" t="s">
        <v>737</v>
      </c>
      <c r="D15" s="13" t="s">
        <v>774</v>
      </c>
      <c r="E15" s="13" t="s">
        <v>16</v>
      </c>
      <c r="F15" s="13" t="s">
        <v>775</v>
      </c>
      <c r="G15" s="13" t="s">
        <v>29</v>
      </c>
      <c r="I15" s="13" t="s">
        <v>776</v>
      </c>
    </row>
    <row r="16" spans="1:9" ht="91.5">
      <c r="A16" t="s">
        <v>280</v>
      </c>
      <c r="B16" s="13" t="s">
        <v>281</v>
      </c>
      <c r="C16" s="13" t="s">
        <v>737</v>
      </c>
      <c r="D16" s="13" t="s">
        <v>777</v>
      </c>
      <c r="E16" s="13" t="s">
        <v>33</v>
      </c>
      <c r="F16" s="13" t="s">
        <v>778</v>
      </c>
      <c r="G16" s="13" t="s">
        <v>154</v>
      </c>
      <c r="H16" s="13" t="s">
        <v>518</v>
      </c>
      <c r="I16" s="13" t="s">
        <v>779</v>
      </c>
    </row>
    <row r="17" spans="1:9" ht="76.5">
      <c r="A17" t="s">
        <v>286</v>
      </c>
      <c r="B17" s="13" t="s">
        <v>287</v>
      </c>
      <c r="C17" s="13" t="s">
        <v>737</v>
      </c>
      <c r="D17" s="13" t="s">
        <v>780</v>
      </c>
      <c r="E17" s="13" t="s">
        <v>58</v>
      </c>
      <c r="F17" s="13" t="s">
        <v>685</v>
      </c>
      <c r="G17" s="13" t="s">
        <v>103</v>
      </c>
      <c r="I17" s="13" t="s">
        <v>753</v>
      </c>
    </row>
    <row r="18" spans="1:9" ht="76.5">
      <c r="A18" t="s">
        <v>293</v>
      </c>
      <c r="B18" s="13" t="s">
        <v>294</v>
      </c>
      <c r="C18" s="13" t="s">
        <v>737</v>
      </c>
      <c r="D18" s="13" t="s">
        <v>781</v>
      </c>
      <c r="E18" s="13" t="s">
        <v>58</v>
      </c>
      <c r="F18" s="13" t="s">
        <v>690</v>
      </c>
      <c r="G18" s="13" t="s">
        <v>109</v>
      </c>
      <c r="I18" s="13" t="s">
        <v>753</v>
      </c>
    </row>
    <row r="19" spans="1:9" ht="76.5">
      <c r="A19" t="s">
        <v>299</v>
      </c>
      <c r="B19" s="13" t="s">
        <v>300</v>
      </c>
      <c r="C19" s="13" t="s">
        <v>737</v>
      </c>
      <c r="D19" s="13" t="s">
        <v>782</v>
      </c>
      <c r="E19" s="13" t="s">
        <v>16</v>
      </c>
      <c r="F19" s="13" t="s">
        <v>783</v>
      </c>
      <c r="G19" s="13" t="s">
        <v>103</v>
      </c>
      <c r="I19" s="13" t="s">
        <v>784</v>
      </c>
    </row>
    <row r="20" spans="1:9" ht="60.75">
      <c r="A20" t="s">
        <v>306</v>
      </c>
      <c r="B20" s="13" t="s">
        <v>307</v>
      </c>
      <c r="C20" s="13" t="s">
        <v>737</v>
      </c>
      <c r="D20" s="13" t="s">
        <v>785</v>
      </c>
      <c r="E20" s="13" t="s">
        <v>58</v>
      </c>
      <c r="F20" s="13" t="s">
        <v>786</v>
      </c>
      <c r="G20" s="13" t="s">
        <v>204</v>
      </c>
      <c r="I20" s="13" t="s">
        <v>753</v>
      </c>
    </row>
    <row r="21" spans="1:9" ht="60.75">
      <c r="A21" t="s">
        <v>312</v>
      </c>
      <c r="B21" s="13" t="s">
        <v>313</v>
      </c>
      <c r="C21" s="13" t="s">
        <v>737</v>
      </c>
      <c r="D21" s="13" t="s">
        <v>787</v>
      </c>
      <c r="E21" s="13" t="s">
        <v>58</v>
      </c>
      <c r="F21" s="13" t="s">
        <v>788</v>
      </c>
      <c r="G21" s="13" t="s">
        <v>196</v>
      </c>
      <c r="I21" s="13" t="s">
        <v>753</v>
      </c>
    </row>
    <row r="22" spans="1:9" ht="91.5">
      <c r="A22" t="s">
        <v>318</v>
      </c>
      <c r="B22" s="13" t="s">
        <v>319</v>
      </c>
      <c r="C22" s="13" t="s">
        <v>737</v>
      </c>
      <c r="D22" s="13" t="s">
        <v>789</v>
      </c>
      <c r="E22" s="13" t="s">
        <v>58</v>
      </c>
      <c r="F22" s="13" t="s">
        <v>790</v>
      </c>
      <c r="G22" s="13" t="s">
        <v>324</v>
      </c>
      <c r="I22" s="13" t="s">
        <v>753</v>
      </c>
    </row>
    <row r="23" spans="1:9" ht="60.75">
      <c r="A23" t="s">
        <v>326</v>
      </c>
      <c r="B23" s="13" t="s">
        <v>327</v>
      </c>
      <c r="C23" s="13" t="s">
        <v>737</v>
      </c>
      <c r="D23" s="13" t="s">
        <v>791</v>
      </c>
      <c r="E23" s="13" t="s">
        <v>58</v>
      </c>
      <c r="F23" s="13" t="s">
        <v>792</v>
      </c>
      <c r="G23" s="13" t="s">
        <v>324</v>
      </c>
      <c r="I23" s="13" t="s">
        <v>753</v>
      </c>
    </row>
    <row r="24" spans="1:9" ht="60.75">
      <c r="A24" t="s">
        <v>332</v>
      </c>
      <c r="B24" s="13" t="s">
        <v>333</v>
      </c>
      <c r="C24" s="13" t="s">
        <v>737</v>
      </c>
      <c r="D24" s="13" t="s">
        <v>793</v>
      </c>
      <c r="E24" s="13" t="s">
        <v>16</v>
      </c>
      <c r="F24" s="13" t="s">
        <v>794</v>
      </c>
      <c r="G24" s="13" t="s">
        <v>324</v>
      </c>
      <c r="I24" s="13" t="s">
        <v>795</v>
      </c>
    </row>
    <row r="25" spans="1:9" ht="60.75">
      <c r="A25" t="s">
        <v>339</v>
      </c>
      <c r="B25" s="13" t="s">
        <v>340</v>
      </c>
      <c r="C25" s="13" t="s">
        <v>737</v>
      </c>
      <c r="D25" s="13" t="s">
        <v>796</v>
      </c>
      <c r="E25" s="13" t="s">
        <v>16</v>
      </c>
      <c r="F25" s="13" t="s">
        <v>797</v>
      </c>
      <c r="G25" s="13" t="s">
        <v>324</v>
      </c>
      <c r="I25" s="13" t="s">
        <v>798</v>
      </c>
    </row>
    <row r="26" spans="1:9" ht="76.5">
      <c r="A26" t="s">
        <v>346</v>
      </c>
      <c r="B26" s="13" t="s">
        <v>347</v>
      </c>
      <c r="C26" s="13" t="s">
        <v>737</v>
      </c>
      <c r="D26" s="13" t="s">
        <v>799</v>
      </c>
      <c r="E26" s="13" t="s">
        <v>16</v>
      </c>
      <c r="F26" s="13" t="s">
        <v>800</v>
      </c>
      <c r="G26" s="13" t="s">
        <v>20</v>
      </c>
      <c r="H26" s="13" t="s">
        <v>522</v>
      </c>
      <c r="I26" s="13" t="s">
        <v>801</v>
      </c>
    </row>
    <row r="27" spans="1:9" ht="60.75">
      <c r="A27" t="s">
        <v>354</v>
      </c>
      <c r="B27" s="13" t="s">
        <v>355</v>
      </c>
      <c r="C27" s="13" t="s">
        <v>737</v>
      </c>
      <c r="D27" s="13" t="s">
        <v>802</v>
      </c>
      <c r="E27" s="13" t="s">
        <v>16</v>
      </c>
      <c r="F27" s="13" t="s">
        <v>803</v>
      </c>
      <c r="G27" s="13" t="s">
        <v>360</v>
      </c>
      <c r="H27" s="13" t="s">
        <v>526</v>
      </c>
      <c r="I27" s="13" t="s">
        <v>804</v>
      </c>
    </row>
    <row r="28" spans="1:9" ht="45.75">
      <c r="A28" t="s">
        <v>362</v>
      </c>
      <c r="B28" s="13" t="s">
        <v>363</v>
      </c>
      <c r="C28" s="13" t="s">
        <v>737</v>
      </c>
      <c r="D28" s="13" t="s">
        <v>805</v>
      </c>
      <c r="E28" s="13" t="s">
        <v>58</v>
      </c>
      <c r="F28" s="13" t="s">
        <v>806</v>
      </c>
      <c r="G28" s="13" t="s">
        <v>196</v>
      </c>
      <c r="I28" s="13" t="s">
        <v>753</v>
      </c>
    </row>
    <row r="29" spans="1:9" ht="76.5">
      <c r="A29" t="s">
        <v>368</v>
      </c>
      <c r="B29" s="13" t="s">
        <v>369</v>
      </c>
      <c r="C29" s="13" t="s">
        <v>737</v>
      </c>
      <c r="D29" s="13" t="s">
        <v>807</v>
      </c>
      <c r="E29" s="13" t="s">
        <v>16</v>
      </c>
      <c r="F29" s="13" t="s">
        <v>710</v>
      </c>
      <c r="G29" s="13" t="s">
        <v>374</v>
      </c>
      <c r="H29" s="13" t="s">
        <v>530</v>
      </c>
      <c r="I29" s="13" t="s">
        <v>808</v>
      </c>
    </row>
    <row r="30" spans="1:9" ht="60.75">
      <c r="A30" t="s">
        <v>376</v>
      </c>
      <c r="B30" s="13" t="s">
        <v>377</v>
      </c>
      <c r="C30" s="13" t="s">
        <v>737</v>
      </c>
      <c r="D30" s="13" t="s">
        <v>809</v>
      </c>
      <c r="E30" s="13" t="s">
        <v>16</v>
      </c>
      <c r="F30" s="13" t="s">
        <v>810</v>
      </c>
      <c r="G30" s="13" t="s">
        <v>249</v>
      </c>
      <c r="H30" s="13" t="s">
        <v>533</v>
      </c>
      <c r="I30" s="13" t="s">
        <v>811</v>
      </c>
    </row>
    <row r="31" spans="1:9" ht="76.5">
      <c r="A31" t="s">
        <v>383</v>
      </c>
      <c r="B31" s="13" t="s">
        <v>384</v>
      </c>
      <c r="C31" s="13" t="s">
        <v>737</v>
      </c>
      <c r="D31" s="13" t="s">
        <v>812</v>
      </c>
      <c r="E31" s="13" t="s">
        <v>16</v>
      </c>
      <c r="F31" s="13" t="s">
        <v>813</v>
      </c>
      <c r="G31" s="13" t="s">
        <v>271</v>
      </c>
      <c r="H31" s="13" t="s">
        <v>537</v>
      </c>
      <c r="I31" s="13" t="s">
        <v>814</v>
      </c>
    </row>
    <row r="32" spans="1:9" ht="60.75">
      <c r="A32" t="s">
        <v>390</v>
      </c>
      <c r="B32" s="13" t="s">
        <v>391</v>
      </c>
      <c r="C32" s="13" t="s">
        <v>737</v>
      </c>
      <c r="D32" s="13" t="s">
        <v>815</v>
      </c>
      <c r="E32" s="13" t="s">
        <v>16</v>
      </c>
      <c r="F32" s="13" t="s">
        <v>816</v>
      </c>
      <c r="G32" s="13" t="s">
        <v>196</v>
      </c>
      <c r="H32" s="13" t="s">
        <v>541</v>
      </c>
      <c r="I32" s="13" t="s">
        <v>817</v>
      </c>
    </row>
    <row r="33" spans="1:9" ht="60.75">
      <c r="A33" t="s">
        <v>397</v>
      </c>
      <c r="B33" s="13" t="s">
        <v>398</v>
      </c>
      <c r="C33" s="13" t="s">
        <v>737</v>
      </c>
      <c r="D33" s="13" t="s">
        <v>818</v>
      </c>
      <c r="E33" s="13" t="s">
        <v>16</v>
      </c>
      <c r="F33" s="13" t="s">
        <v>819</v>
      </c>
      <c r="G33" s="13" t="s">
        <v>196</v>
      </c>
      <c r="H33" s="13" t="s">
        <v>545</v>
      </c>
      <c r="I33" s="13" t="s">
        <v>820</v>
      </c>
    </row>
    <row r="34" spans="1:9" ht="60.75">
      <c r="A34" t="s">
        <v>404</v>
      </c>
      <c r="B34" s="13" t="s">
        <v>405</v>
      </c>
      <c r="C34" s="13" t="s">
        <v>737</v>
      </c>
      <c r="D34" s="13" t="s">
        <v>821</v>
      </c>
      <c r="E34" s="13" t="s">
        <v>58</v>
      </c>
      <c r="F34" s="13" t="s">
        <v>822</v>
      </c>
      <c r="G34" s="13" t="s">
        <v>409</v>
      </c>
      <c r="I34" s="13" t="s">
        <v>753</v>
      </c>
    </row>
    <row r="35" spans="1:9" ht="91.5">
      <c r="A35" t="s">
        <v>411</v>
      </c>
      <c r="B35" s="13" t="s">
        <v>412</v>
      </c>
      <c r="C35" s="13" t="s">
        <v>737</v>
      </c>
      <c r="D35" s="13" t="s">
        <v>823</v>
      </c>
      <c r="E35" s="13" t="s">
        <v>16</v>
      </c>
      <c r="F35" s="13" t="s">
        <v>824</v>
      </c>
      <c r="G35" s="13" t="s">
        <v>249</v>
      </c>
      <c r="I35" s="13" t="s">
        <v>825</v>
      </c>
    </row>
    <row r="36" spans="1:9" ht="76.5">
      <c r="A36" t="s">
        <v>418</v>
      </c>
      <c r="B36" s="13" t="s">
        <v>419</v>
      </c>
      <c r="C36" s="13" t="s">
        <v>737</v>
      </c>
      <c r="D36" s="13" t="s">
        <v>826</v>
      </c>
      <c r="E36" s="13" t="s">
        <v>16</v>
      </c>
      <c r="F36" s="13" t="s">
        <v>827</v>
      </c>
      <c r="G36" s="13" t="s">
        <v>424</v>
      </c>
      <c r="H36" s="13" t="s">
        <v>550</v>
      </c>
      <c r="I36" s="13" t="s">
        <v>828</v>
      </c>
    </row>
    <row r="37" spans="1:9" ht="76.5">
      <c r="A37" t="s">
        <v>426</v>
      </c>
      <c r="B37" s="13" t="s">
        <v>427</v>
      </c>
      <c r="C37" s="13" t="s">
        <v>737</v>
      </c>
      <c r="D37" s="13" t="s">
        <v>829</v>
      </c>
      <c r="E37" s="13" t="s">
        <v>16</v>
      </c>
      <c r="F37" s="13" t="s">
        <v>830</v>
      </c>
      <c r="G37" s="13" t="s">
        <v>432</v>
      </c>
      <c r="I37" s="13" t="s">
        <v>831</v>
      </c>
    </row>
  </sheetData>
  <autoFilter ref="A1:I1" xr:uid="{177E74DE-8B4A-4A0B-9208-A09B5FD43079}"/>
  <dataValidations count="2">
    <dataValidation type="list" allowBlank="1" showInputMessage="1" showErrorMessage="1" sqref="C2:C37" xr:uid="{32CA741E-8C69-4384-B94E-604648ED9578}">
      <formula1>"Yes,No"</formula1>
    </dataValidation>
    <dataValidation type="list" allowBlank="1" showInputMessage="1" showErrorMessage="1" sqref="E2:E37" xr:uid="{6EAC6FB6-583C-488A-946D-54591DF814FB}">
      <formula1>"Implemented,Partially Implemented,Not Implemented"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D0F3-DBC3-4CCD-83E9-E0BB54A5DA9A}">
  <dimension ref="A1:Y69"/>
  <sheetViews>
    <sheetView showGridLines="0" workbookViewId="0">
      <selection activeCell="V38" sqref="V38"/>
    </sheetView>
  </sheetViews>
  <sheetFormatPr defaultRowHeight="15"/>
  <cols>
    <col min="4" max="4" width="3.140625" customWidth="1"/>
    <col min="8" max="8" width="3.140625" customWidth="1"/>
    <col min="12" max="12" width="3" customWidth="1"/>
    <col min="16" max="16" width="3.140625" customWidth="1"/>
    <col min="21" max="21" width="15" customWidth="1"/>
  </cols>
  <sheetData>
    <row r="1" spans="1:25" ht="35.25" customHeight="1">
      <c r="A1" s="26" t="s">
        <v>832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0"/>
      <c r="O1" s="20"/>
      <c r="P1" s="20"/>
      <c r="Q1" s="20"/>
      <c r="R1" s="20"/>
      <c r="S1" s="20"/>
    </row>
    <row r="2" spans="1:25" ht="27" customHeight="1">
      <c r="A2" s="27" t="s">
        <v>833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0"/>
      <c r="O2" s="20"/>
      <c r="P2" s="20"/>
      <c r="Q2" s="20"/>
      <c r="R2" s="20"/>
      <c r="S2" s="20"/>
    </row>
    <row r="4" spans="1:25" ht="26.25">
      <c r="A4" s="24">
        <f>COUNTA('ISO Gap Assessment'!A2:A60)</f>
        <v>59</v>
      </c>
      <c r="B4" s="24"/>
      <c r="C4" s="24"/>
      <c r="D4" s="12"/>
      <c r="E4" s="24">
        <f>COUNTIF('ISO Gap Assessment'!E2:E60,"Implemented")</f>
        <v>14</v>
      </c>
      <c r="F4" s="24"/>
      <c r="G4" s="24"/>
      <c r="H4" s="12"/>
      <c r="I4" s="24">
        <f>COUNTIF('ISO Gap Assessment'!E2:E60,"Partially Implemented")</f>
        <v>39</v>
      </c>
      <c r="J4" s="24"/>
      <c r="K4" s="24"/>
      <c r="L4" s="12"/>
      <c r="M4" s="24">
        <f>COUNTIF('ISO Gap Assessment'!E2:E60,"Not Implemented")</f>
        <v>6</v>
      </c>
      <c r="N4" s="24"/>
      <c r="O4" s="24"/>
      <c r="P4" s="12"/>
      <c r="Q4" s="30">
        <f>SUM('ISO Gap Assessment'!M2:M60)/COUNT('ISO Gap Assessment'!M2:M60)</f>
        <v>0.56779661016949157</v>
      </c>
      <c r="R4" s="30"/>
      <c r="S4" s="30"/>
    </row>
    <row r="5" spans="1:25" ht="26.25">
      <c r="A5" s="24"/>
      <c r="B5" s="24"/>
      <c r="C5" s="24"/>
      <c r="D5" s="12"/>
      <c r="E5" s="24"/>
      <c r="F5" s="24"/>
      <c r="G5" s="24"/>
      <c r="H5" s="12"/>
      <c r="I5" s="24"/>
      <c r="J5" s="24"/>
      <c r="K5" s="24"/>
      <c r="L5" s="12"/>
      <c r="M5" s="24"/>
      <c r="N5" s="24"/>
      <c r="O5" s="24"/>
      <c r="P5" s="12"/>
      <c r="Q5" s="30"/>
      <c r="R5" s="30"/>
      <c r="S5" s="30"/>
    </row>
    <row r="6" spans="1:25" ht="9" customHeight="1">
      <c r="A6" s="24"/>
      <c r="B6" s="24"/>
      <c r="C6" s="24"/>
      <c r="D6" s="12"/>
      <c r="E6" s="24"/>
      <c r="F6" s="24"/>
      <c r="G6" s="24"/>
      <c r="H6" s="12"/>
      <c r="I6" s="24"/>
      <c r="J6" s="24"/>
      <c r="K6" s="24"/>
      <c r="L6" s="12"/>
      <c r="M6" s="24"/>
      <c r="N6" s="24"/>
      <c r="O6" s="24"/>
      <c r="P6" s="12"/>
      <c r="Q6" s="30"/>
      <c r="R6" s="30"/>
      <c r="S6" s="30"/>
    </row>
    <row r="7" spans="1:25" ht="7.5" hidden="1" customHeight="1">
      <c r="A7" s="24"/>
      <c r="B7" s="24"/>
      <c r="C7" s="24"/>
      <c r="D7" s="12"/>
      <c r="E7" s="24"/>
      <c r="F7" s="24"/>
      <c r="G7" s="24"/>
      <c r="H7" s="12"/>
      <c r="I7" s="24"/>
      <c r="J7" s="24"/>
      <c r="K7" s="24"/>
      <c r="L7" s="12"/>
      <c r="M7" s="24"/>
      <c r="N7" s="24"/>
      <c r="O7" s="24"/>
      <c r="P7" s="12"/>
      <c r="Q7" s="30"/>
      <c r="R7" s="30"/>
      <c r="S7" s="30"/>
    </row>
    <row r="8" spans="1:25" s="5" customFormat="1" ht="28.5" customHeight="1">
      <c r="A8" s="23" t="s">
        <v>834</v>
      </c>
      <c r="B8" s="23"/>
      <c r="C8" s="23"/>
      <c r="E8" s="23" t="s">
        <v>58</v>
      </c>
      <c r="F8" s="23"/>
      <c r="G8" s="23"/>
      <c r="I8" s="23" t="s">
        <v>648</v>
      </c>
      <c r="J8" s="23"/>
      <c r="K8" s="23"/>
      <c r="M8" s="23" t="s">
        <v>33</v>
      </c>
      <c r="N8" s="23"/>
      <c r="O8" s="23"/>
      <c r="Q8" s="23" t="s">
        <v>835</v>
      </c>
      <c r="R8" s="23"/>
      <c r="S8" s="23"/>
    </row>
    <row r="10" spans="1:25" ht="30" customHeight="1">
      <c r="A10" s="21" t="s">
        <v>836</v>
      </c>
      <c r="B10" s="21"/>
      <c r="C10" s="21"/>
      <c r="D10" s="21"/>
      <c r="E10" s="21"/>
      <c r="F10" s="21"/>
      <c r="G10" s="21"/>
      <c r="H10" s="21"/>
      <c r="I10" s="21"/>
      <c r="J10" s="21"/>
      <c r="X10" s="14"/>
      <c r="Y10" s="14"/>
    </row>
    <row r="11" spans="1:25" ht="30.75" customHeight="1">
      <c r="A11" s="22" t="s">
        <v>837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U11" s="17" t="s">
        <v>4</v>
      </c>
      <c r="V11" s="14" t="s">
        <v>838</v>
      </c>
      <c r="X11" s="14" t="s">
        <v>839</v>
      </c>
      <c r="Y11" s="14" t="s">
        <v>838</v>
      </c>
    </row>
    <row r="12" spans="1:25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U12" s="13" t="s">
        <v>58</v>
      </c>
      <c r="V12">
        <f>COUNTIF('ISO Gap Assessment'!E2:E60,"Implemented")</f>
        <v>14</v>
      </c>
      <c r="X12" t="s">
        <v>840</v>
      </c>
      <c r="Y12" s="16">
        <f>COUNTA('Remediation Plan'!A2:A26)</f>
        <v>25</v>
      </c>
    </row>
    <row r="13" spans="1:25" ht="30.75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U13" s="13" t="s">
        <v>16</v>
      </c>
      <c r="V13">
        <f>COUNTIF('ISO Gap Assessment'!E2:E60,"Partially Implemented")</f>
        <v>39</v>
      </c>
      <c r="X13" t="s">
        <v>841</v>
      </c>
      <c r="Y13" s="15">
        <f>COUNTIF('Remediation Plan'!F2:F26,"Critical")</f>
        <v>5</v>
      </c>
    </row>
    <row r="14" spans="1:25" ht="30.75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U14" s="13" t="s">
        <v>33</v>
      </c>
      <c r="V14">
        <f>COUNTIF('ISO Gap Assessment'!E2:E60,"Not Implemented")</f>
        <v>6</v>
      </c>
      <c r="X14" t="s">
        <v>842</v>
      </c>
      <c r="Y14" s="15">
        <f>COUNTIF('Remediation Plan'!F2:F26,"High")</f>
        <v>20</v>
      </c>
    </row>
    <row r="15" spans="1:25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X15" t="s">
        <v>445</v>
      </c>
      <c r="Y15" s="15">
        <f>COUNTIF('Remediation Plan'!H2:H26,"In Progress")</f>
        <v>20</v>
      </c>
    </row>
    <row r="16" spans="1: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X16" t="s">
        <v>470</v>
      </c>
      <c r="Y16" s="15">
        <f>COUNTIF('Remediation Plan'!H2:H26,"Not Started")</f>
        <v>5</v>
      </c>
    </row>
    <row r="17" spans="1:19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42" spans="1:15" ht="23.25">
      <c r="A42" s="24">
        <f>COUNTA('Remediation Plan'!A2:A26)</f>
        <v>25</v>
      </c>
      <c r="B42" s="24"/>
      <c r="C42" s="24"/>
      <c r="D42" s="18"/>
      <c r="E42" s="24">
        <f>COUNTIF('Remediation Plan'!F2:F26,"Critical")</f>
        <v>5</v>
      </c>
      <c r="F42" s="24"/>
      <c r="G42" s="24"/>
      <c r="H42" s="18"/>
      <c r="I42" s="24">
        <f>COUNTIF('Remediation Plan'!H2:H26,"In Progress")</f>
        <v>20</v>
      </c>
      <c r="J42" s="24"/>
      <c r="K42" s="24"/>
      <c r="L42" s="18"/>
      <c r="M42" s="24">
        <f>COUNTIF('Remediation Plan'!H2:H26,"Not Started")</f>
        <v>5</v>
      </c>
      <c r="N42" s="24"/>
      <c r="O42" s="24"/>
    </row>
    <row r="43" spans="1:15" ht="23.25">
      <c r="A43" s="24"/>
      <c r="B43" s="24"/>
      <c r="C43" s="24"/>
      <c r="D43" s="18"/>
      <c r="E43" s="24"/>
      <c r="F43" s="24"/>
      <c r="G43" s="24"/>
      <c r="H43" s="18"/>
      <c r="I43" s="24"/>
      <c r="J43" s="24"/>
      <c r="K43" s="24"/>
      <c r="L43" s="18"/>
      <c r="M43" s="24"/>
      <c r="N43" s="24"/>
      <c r="O43" s="24"/>
    </row>
    <row r="44" spans="1:15" ht="23.25">
      <c r="A44" s="24"/>
      <c r="B44" s="24"/>
      <c r="C44" s="24"/>
      <c r="D44" s="18"/>
      <c r="E44" s="24"/>
      <c r="F44" s="24"/>
      <c r="G44" s="24"/>
      <c r="H44" s="18"/>
      <c r="I44" s="24"/>
      <c r="J44" s="24"/>
      <c r="K44" s="24"/>
      <c r="L44" s="18"/>
      <c r="M44" s="24"/>
      <c r="N44" s="24"/>
      <c r="O44" s="24"/>
    </row>
    <row r="45" spans="1:15" s="5" customFormat="1" ht="30.75" customHeight="1">
      <c r="A45" s="23" t="s">
        <v>843</v>
      </c>
      <c r="B45" s="23"/>
      <c r="C45" s="23"/>
      <c r="E45" s="23" t="s">
        <v>841</v>
      </c>
      <c r="F45" s="23"/>
      <c r="G45" s="23"/>
      <c r="I45" s="23" t="s">
        <v>844</v>
      </c>
      <c r="J45" s="23"/>
      <c r="K45" s="23"/>
      <c r="M45" s="23" t="s">
        <v>845</v>
      </c>
      <c r="N45" s="23"/>
      <c r="O45" s="23"/>
    </row>
    <row r="48" spans="1:15" ht="23.25" customHeight="1">
      <c r="A48" s="21" t="s">
        <v>846</v>
      </c>
      <c r="B48" s="21"/>
      <c r="C48" s="21"/>
      <c r="D48" s="21"/>
      <c r="E48" s="21"/>
      <c r="F48" s="21"/>
      <c r="G48" s="21"/>
      <c r="H48" s="21"/>
      <c r="I48" s="21"/>
      <c r="J48" s="21"/>
    </row>
    <row r="49" spans="1:19">
      <c r="A49" s="28" t="s">
        <v>847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</row>
    <row r="50" spans="1:19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</row>
    <row r="51" spans="1:19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</row>
    <row r="52" spans="1:19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</row>
    <row r="53" spans="1:19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</row>
    <row r="54" spans="1:19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</row>
    <row r="56" spans="1:19" ht="24" customHeight="1">
      <c r="A56" s="21" t="s">
        <v>848</v>
      </c>
      <c r="B56" s="21"/>
      <c r="C56" s="21"/>
      <c r="D56" s="21"/>
      <c r="E56" s="21"/>
      <c r="F56" s="21"/>
      <c r="G56" s="21"/>
      <c r="H56" s="21"/>
      <c r="I56" s="21"/>
      <c r="J56" s="21"/>
    </row>
    <row r="57" spans="1:19" ht="35.25" customHeight="1">
      <c r="A57" s="25" t="s">
        <v>849</v>
      </c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</row>
    <row r="58" spans="1:19" ht="15" customHeight="1">
      <c r="A58" s="22" t="s">
        <v>850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</row>
    <row r="59" spans="1:1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</row>
    <row r="60" spans="1:19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</sheetData>
  <mergeCells count="28">
    <mergeCell ref="A57:S57"/>
    <mergeCell ref="A58:S59"/>
    <mergeCell ref="A1:M1"/>
    <mergeCell ref="A2:M2"/>
    <mergeCell ref="A48:J48"/>
    <mergeCell ref="A49:S54"/>
    <mergeCell ref="A4:C7"/>
    <mergeCell ref="E4:G7"/>
    <mergeCell ref="I4:K7"/>
    <mergeCell ref="M4:O7"/>
    <mergeCell ref="Q4:S7"/>
    <mergeCell ref="I8:K8"/>
    <mergeCell ref="M8:O8"/>
    <mergeCell ref="Q8:S8"/>
    <mergeCell ref="A42:C44"/>
    <mergeCell ref="E42:G44"/>
    <mergeCell ref="A56:J56"/>
    <mergeCell ref="I42:K44"/>
    <mergeCell ref="M42:O44"/>
    <mergeCell ref="A45:C45"/>
    <mergeCell ref="E45:G45"/>
    <mergeCell ref="I45:K45"/>
    <mergeCell ref="M45:O45"/>
    <mergeCell ref="N1:S2"/>
    <mergeCell ref="A10:J10"/>
    <mergeCell ref="A11:S16"/>
    <mergeCell ref="A8:C8"/>
    <mergeCell ref="E8:G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6B6F-171A-467B-9E62-FFF5A6960BFC}">
  <dimension ref="A1:Q28"/>
  <sheetViews>
    <sheetView workbookViewId="0">
      <selection activeCell="L19" sqref="L19"/>
    </sheetView>
  </sheetViews>
  <sheetFormatPr defaultRowHeight="15"/>
  <cols>
    <col min="1" max="1" width="13.7109375" customWidth="1"/>
    <col min="2" max="2" width="15" customWidth="1"/>
    <col min="3" max="3" width="18.42578125" customWidth="1"/>
    <col min="5" max="5" width="13.5703125" customWidth="1"/>
  </cols>
  <sheetData>
    <row r="1" spans="1:17" s="6" customFormat="1" ht="36" customHeight="1">
      <c r="A1" s="6" t="s">
        <v>851</v>
      </c>
    </row>
    <row r="2" spans="1:17" ht="24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45.75">
      <c r="A3" s="3" t="s">
        <v>852</v>
      </c>
      <c r="B3" s="3" t="s">
        <v>853</v>
      </c>
      <c r="C3" s="3" t="s">
        <v>854</v>
      </c>
      <c r="D3" s="3"/>
      <c r="E3" s="3" t="s">
        <v>855</v>
      </c>
      <c r="F3" s="3" t="s">
        <v>856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s="5" customFormat="1" ht="66" customHeight="1">
      <c r="A4" s="3" t="s">
        <v>58</v>
      </c>
      <c r="B4" s="3">
        <v>1</v>
      </c>
      <c r="C4" s="3" t="s">
        <v>857</v>
      </c>
      <c r="D4" s="3"/>
      <c r="E4" s="3" t="s">
        <v>858</v>
      </c>
      <c r="F4" s="3">
        <f>COUNTA('ISO Gap Assessment'!A2:A60)</f>
        <v>59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80.25" customHeight="1">
      <c r="A5" s="3" t="s">
        <v>16</v>
      </c>
      <c r="B5" s="3">
        <v>0.5</v>
      </c>
      <c r="C5" s="3" t="s">
        <v>859</v>
      </c>
      <c r="D5" s="3"/>
      <c r="E5" s="3" t="s">
        <v>860</v>
      </c>
      <c r="F5" s="3">
        <f>SUM('ISO Gap Assessment'!M2:M60)</f>
        <v>33.5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64.5" customHeight="1">
      <c r="A6" s="3" t="s">
        <v>33</v>
      </c>
      <c r="B6" s="3">
        <v>0</v>
      </c>
      <c r="C6" s="3" t="s">
        <v>861</v>
      </c>
      <c r="D6" s="3"/>
      <c r="E6" s="3" t="s">
        <v>862</v>
      </c>
      <c r="F6" s="4">
        <f>SUM('ISO Gap Assessment'!M2:M60)/COUNT('ISO Gap Assessment'!M2:M60)</f>
        <v>0.56779661016949157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09.5" customHeight="1">
      <c r="A7" s="3" t="s">
        <v>863</v>
      </c>
      <c r="B7" s="3" t="s">
        <v>864</v>
      </c>
      <c r="C7" s="3" t="s">
        <v>865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30.75">
      <c r="A10" s="3" t="s">
        <v>9</v>
      </c>
      <c r="B10" s="3" t="s">
        <v>854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37.25">
      <c r="A11" s="3" t="s">
        <v>155</v>
      </c>
      <c r="B11" s="3" t="s">
        <v>866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21.5">
      <c r="A12" s="3" t="s">
        <v>37</v>
      </c>
      <c r="B12" s="3" t="s">
        <v>867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67.25">
      <c r="A13" s="3" t="s">
        <v>21</v>
      </c>
      <c r="B13" s="3" t="s">
        <v>868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21.5">
      <c r="A14" s="3" t="s">
        <v>62</v>
      </c>
      <c r="B14" s="3" t="s">
        <v>869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s="8" customFormat="1" ht="27" customHeight="1">
      <c r="A17" s="31" t="s">
        <v>870</v>
      </c>
      <c r="B17" s="31"/>
      <c r="C17" s="31"/>
      <c r="D17" s="31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33" customHeight="1">
      <c r="A18" s="22" t="s">
        <v>871</v>
      </c>
      <c r="B18" s="22"/>
      <c r="C18" s="22"/>
      <c r="D18" s="2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35.25" customHeight="1">
      <c r="A19" s="22" t="s">
        <v>872</v>
      </c>
      <c r="B19" s="22"/>
      <c r="C19" s="22"/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21.75" customHeight="1">
      <c r="A20" s="22" t="s">
        <v>873</v>
      </c>
      <c r="B20" s="22"/>
      <c r="C20" s="22"/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34.5" customHeight="1">
      <c r="A21" s="22" t="s">
        <v>874</v>
      </c>
      <c r="B21" s="22"/>
      <c r="C21" s="22"/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49.5" customHeight="1">
      <c r="A22" s="22" t="s">
        <v>875</v>
      </c>
      <c r="B22" s="22"/>
      <c r="C22" s="22"/>
      <c r="D22" s="22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</sheetData>
  <mergeCells count="6">
    <mergeCell ref="A22:D22"/>
    <mergeCell ref="A17:D17"/>
    <mergeCell ref="A19:D19"/>
    <mergeCell ref="A18:D18"/>
    <mergeCell ref="A20:D20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2026-09-10T17:30:38Z</dcterms:created>
  <dcterms:modified xsi:type="dcterms:W3CDTF">2026-10-19T13:56:40Z</dcterms:modified>
  <cp:category/>
  <cp:contentStatus/>
</cp:coreProperties>
</file>