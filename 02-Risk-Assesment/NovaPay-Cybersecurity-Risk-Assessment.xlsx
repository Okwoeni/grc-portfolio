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xr:revisionPtr revIDLastSave="0" documentId="8_{AFCAA74D-227C-4DB2-8EDC-95BFF43A2F60}" xr6:coauthVersionLast="47" xr6:coauthVersionMax="47" xr10:uidLastSave="{00000000-0000-0000-0000-000000000000}"/>
  <bookViews>
    <workbookView xWindow="240" yWindow="105" windowWidth="14805" windowHeight="8010" firstSheet="3" activeTab="3" xr2:uid="{00000000-000D-0000-FFFF-FFFF00000000}"/>
  </bookViews>
  <sheets>
    <sheet name="Risk assessment" sheetId="4" r:id="rId1"/>
    <sheet name="Treatment Plan" sheetId="2" r:id="rId2"/>
    <sheet name="Risk Matrix" sheetId="3" r:id="rId3"/>
    <sheet name="Executive summaryy" sheetId="1" r:id="rId4"/>
  </sheets>
  <definedNames>
    <definedName name="_xlnm._FilterDatabase" localSheetId="0" hidden="1">'Risk assessment'!$A$1:$T$1</definedName>
    <definedName name="_xlnm._FilterDatabase" localSheetId="1" hidden="1">'Treatment Plan'!$A$1:$L$1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6" i="1" l="1"/>
  <c r="O6" i="1"/>
  <c r="P5" i="1"/>
  <c r="O5" i="1"/>
  <c r="P4" i="1"/>
  <c r="O4" i="1"/>
  <c r="P3" i="1"/>
  <c r="O3" i="1"/>
  <c r="I5" i="1"/>
  <c r="G5" i="1"/>
  <c r="E5" i="1"/>
  <c r="C5" i="1"/>
  <c r="A5" i="1"/>
  <c r="O3" i="4"/>
  <c r="O4" i="4"/>
  <c r="O5" i="4"/>
  <c r="O6" i="4"/>
  <c r="O7" i="4"/>
  <c r="O8" i="4"/>
  <c r="O9" i="4"/>
  <c r="O10" i="4"/>
  <c r="O11" i="4"/>
  <c r="O12" i="4"/>
  <c r="O13" i="4"/>
  <c r="I3" i="4"/>
  <c r="I4" i="4"/>
  <c r="I5" i="4"/>
  <c r="I6" i="4"/>
  <c r="I7" i="4"/>
  <c r="I8" i="4"/>
  <c r="I9" i="4"/>
  <c r="I10" i="4"/>
  <c r="I11" i="4"/>
  <c r="I12" i="4"/>
  <c r="I13" i="4"/>
  <c r="N3" i="4"/>
  <c r="N4" i="4"/>
  <c r="N5" i="4"/>
  <c r="N6" i="4"/>
  <c r="N7" i="4"/>
  <c r="N8" i="4"/>
  <c r="N9" i="4"/>
  <c r="N10" i="4"/>
  <c r="N11" i="4"/>
  <c r="N12" i="4"/>
  <c r="N13" i="4"/>
  <c r="H3" i="4"/>
  <c r="H4" i="4"/>
  <c r="H5" i="4"/>
  <c r="H6" i="4"/>
  <c r="H7" i="4"/>
  <c r="H8" i="4"/>
  <c r="H9" i="4"/>
  <c r="H10" i="4"/>
  <c r="H11" i="4"/>
  <c r="H12" i="4"/>
  <c r="H13" i="4"/>
  <c r="I2" i="4"/>
  <c r="O2" i="4"/>
  <c r="N2" i="4"/>
  <c r="H2" i="4"/>
</calcChain>
</file>

<file path=xl/sharedStrings.xml><?xml version="1.0" encoding="utf-8"?>
<sst xmlns="http://schemas.openxmlformats.org/spreadsheetml/2006/main" count="365" uniqueCount="196">
  <si>
    <t>Risk ID</t>
  </si>
  <si>
    <t>Asset / Process</t>
  </si>
  <si>
    <t>Threat</t>
  </si>
  <si>
    <t>Vulnerability</t>
  </si>
  <si>
    <t>Risk Scenario</t>
  </si>
  <si>
    <t>Likelihood</t>
  </si>
  <si>
    <t>Impact</t>
  </si>
  <si>
    <t>Inherent Risk Score</t>
  </si>
  <si>
    <t>Inherent Rating</t>
  </si>
  <si>
    <t>Existing Controls</t>
  </si>
  <si>
    <t>Control Effectiveness</t>
  </si>
  <si>
    <t>Residual Likelihood</t>
  </si>
  <si>
    <t>Residual Impact</t>
  </si>
  <si>
    <t>Residual Risk Score</t>
  </si>
  <si>
    <t>Residual Rating</t>
  </si>
  <si>
    <t>Treatment Decision</t>
  </si>
  <si>
    <t>Recommended Treatment</t>
  </si>
  <si>
    <t>Risk Owner</t>
  </si>
  <si>
    <t>Target Date</t>
  </si>
  <si>
    <t>Status</t>
  </si>
  <si>
    <t>R001</t>
  </si>
  <si>
    <t>Microsoft 365 Environment</t>
  </si>
  <si>
    <t>Account compromise / phishing</t>
  </si>
  <si>
    <t>Users susceptible to phishing and inconsistent MFA coverage</t>
  </si>
  <si>
    <t>An attacker obtains employee credentials through phishing and gains unauthorised access to Microsoft 365, potentially exposing corporate and customer information.</t>
  </si>
  <si>
    <t>Email filtering; MFA for privileged accounts; security awareness training; conditional access</t>
  </si>
  <si>
    <t>Partially Effective</t>
  </si>
  <si>
    <t>Mitigate</t>
  </si>
  <si>
    <t>Enforce MFA for all users; strengthen conditional access; implement phishing-resistant authentication for privileged accounts; increase phishing simulations</t>
  </si>
  <si>
    <t>Head of IT Security</t>
  </si>
  <si>
    <t>30/11/2026</t>
  </si>
  <si>
    <t>In Progress</t>
  </si>
  <si>
    <t>R002</t>
  </si>
  <si>
    <t>AWS Cloud Infrastructure</t>
  </si>
  <si>
    <t>Cloud misconfiguration</t>
  </si>
  <si>
    <t>Publicly accessible storage or incorrectly configured security groups</t>
  </si>
  <si>
    <t>A cloud configuration error exposes sensitive application or customer data to unauthorised users.</t>
  </si>
  <si>
    <t>AWS security groups; IAM policies; configuration monitoring; encryption</t>
  </si>
  <si>
    <t>Implement automated cloud configuration scanning; enforce secure configuration baselines; conduct monthly configuration reviews</t>
  </si>
  <si>
    <t>Cloud Security Lead</t>
  </si>
  <si>
    <t>15/12/2026</t>
  </si>
  <si>
    <t>R003</t>
  </si>
  <si>
    <t>Customer Payment Platform</t>
  </si>
  <si>
    <t>DDoS attack</t>
  </si>
  <si>
    <t>Insufficient resilience against large-scale traffic attacks</t>
  </si>
  <si>
    <t>A distributed denial-of-service attack overwhelms the payment platform, preventing customers from completing transactions and causing service disruption.</t>
  </si>
  <si>
    <t>Cloud-based DDoS protection; load balancing; infrastructure monitoring</t>
  </si>
  <si>
    <t>Effective</t>
  </si>
  <si>
    <t>Conduct resilience testing; establish DDoS response playbook; review capacity thresholds quarterly</t>
  </si>
  <si>
    <t>Infrastructure Manager</t>
  </si>
  <si>
    <t>31/01/2027</t>
  </si>
  <si>
    <t>Monitoring</t>
  </si>
  <si>
    <t>R004</t>
  </si>
  <si>
    <t>Privileged Administrator Accounts</t>
  </si>
  <si>
    <t>Credential compromise</t>
  </si>
  <si>
    <t>Excessive privileges and inconsistent privileged access reviews</t>
  </si>
  <si>
    <t>A compromised administrator account enables an attacker to modify critical systems, access sensitive information or disrupt services.</t>
  </si>
  <si>
    <t>MFA; privileged account separation; access logging</t>
  </si>
  <si>
    <t>Implement privileged access management; perform quarterly privileged access reviews; introduce time-limited administrative access</t>
  </si>
  <si>
    <t>R005</t>
  </si>
  <si>
    <t>Employee Endpoints</t>
  </si>
  <si>
    <t>Ransomware</t>
  </si>
  <si>
    <t>Unpatched endpoints and users opening malicious attachments</t>
  </si>
  <si>
    <t>Ransomware infects employee devices and spreads across the corporate environment, disrupting operations and making business information unavailable.</t>
  </si>
  <si>
    <t>Endpoint protection; email filtering; security awareness training; daily backups</t>
  </si>
  <si>
    <t>Deploy EDR across all endpoints; strengthen patch compliance monitoring; conduct ransomware response exercises</t>
  </si>
  <si>
    <t>Security Operations Manager</t>
  </si>
  <si>
    <t>31/12/2026</t>
  </si>
  <si>
    <t>R006</t>
  </si>
  <si>
    <t>Customer Personal Data</t>
  </si>
  <si>
    <t>Unauthorised disclosure</t>
  </si>
  <si>
    <t>Weak data handling practices and excessive access permissions</t>
  </si>
  <si>
    <t>Customer personal information is accessed or disclosed without authorisation, resulting in regulatory, financial and reputational impact.</t>
  </si>
  <si>
    <t>Encryption; RBAC; privacy policies; access logging</t>
  </si>
  <si>
    <t>Perform access recertification; implement DLP controls; strengthen data classification and handling procedures</t>
  </si>
  <si>
    <t>Data Protection Officer</t>
  </si>
  <si>
    <t>R007</t>
  </si>
  <si>
    <t>Third-Party SaaS Providers</t>
  </si>
  <si>
    <t>Supplier security breach</t>
  </si>
  <si>
    <t>Limited ongoing security monitoring of critical suppliers</t>
  </si>
  <si>
    <t>A cyber incident affecting a critical SaaS provider compromises NovaPay information or disrupts essential business services.</t>
  </si>
  <si>
    <t>Pre-contract security questionnaires; contractual security clauses; supplier SLAs</t>
  </si>
  <si>
    <t>Introduce risk-tiered supplier assessments; annual reviews for critical vendors; establish supplier incident notification requirements</t>
  </si>
  <si>
    <t>Third-Party Risk Manager</t>
  </si>
  <si>
    <t>28/02/2027</t>
  </si>
  <si>
    <t>R008</t>
  </si>
  <si>
    <t>Public API Infrastructure</t>
  </si>
  <si>
    <t>API attack</t>
  </si>
  <si>
    <t>Insufficient rate limiting and inconsistent API security testing</t>
  </si>
  <si>
    <t>An attacker exploits weaknesses in a public-facing API to access information, manipulate transactions or disrupt customer services.</t>
  </si>
  <si>
    <t>API gateway; authentication tokens; application logging; basic rate limiting</t>
  </si>
  <si>
    <t>Strengthen API rate limiting; introduce regular API security testing; implement automated monitoring for abnormal API activity</t>
  </si>
  <si>
    <t>Application Security Lead</t>
  </si>
  <si>
    <t>R009</t>
  </si>
  <si>
    <t>Backup &amp; Recovery Environment</t>
  </si>
  <si>
    <t>Data loss / recovery failure</t>
  </si>
  <si>
    <t>Backup restoration is not regularly tested</t>
  </si>
  <si>
    <t>A major system failure or cyber incident occurs and NovaPay cannot restore critical systems within required recovery times.</t>
  </si>
  <si>
    <t>Daily backups; encrypted backup storage; documented recovery procedures</t>
  </si>
  <si>
    <t>Perform quarterly restoration tests; define recovery success metrics; maintain isolated backup copies</t>
  </si>
  <si>
    <t>Business Continuity Manager</t>
  </si>
  <si>
    <t>R010</t>
  </si>
  <si>
    <t>Server &amp; Application Estate</t>
  </si>
  <si>
    <t>Exploitation of known vulnerability</t>
  </si>
  <si>
    <t>Delays between vulnerability identification and remediation</t>
  </si>
  <si>
    <t>An attacker exploits a known but unpatched vulnerability before remediation is completed, resulting in system compromise.</t>
  </si>
  <si>
    <t>Monthly vulnerability scans; patch management process; endpoint protection</t>
  </si>
  <si>
    <t>Define risk-based remediation SLAs; implement vulnerability prioritisation; escalate overdue critical vulnerabilities</t>
  </si>
  <si>
    <t>Vulnerability Management Lead</t>
  </si>
  <si>
    <t>R011</t>
  </si>
  <si>
    <t>Remote Working Environment</t>
  </si>
  <si>
    <t>Unauthorised access</t>
  </si>
  <si>
    <t>Use of unmanaged networks and inconsistent device compliance enforcement</t>
  </si>
  <si>
    <t>An unauthorised party gains access to NovaPay systems through a compromised remote-working device or insecure connection.</t>
  </si>
  <si>
    <t>VPN; MFA; managed laptops; endpoint protection</t>
  </si>
  <si>
    <t>Monitor</t>
  </si>
  <si>
    <t>Enforce device compliance through conditional access; review remote access logs; maintain endpoint security monitoring</t>
  </si>
  <si>
    <t>IT Operations Manager</t>
  </si>
  <si>
    <t>R012</t>
  </si>
  <si>
    <t>Security Incident Response</t>
  </si>
  <si>
    <t>Delayed incident response</t>
  </si>
  <si>
    <t>Incident escalation responsibilities and exercises are not sufficiently mature</t>
  </si>
  <si>
    <t>A significant security incident is not identified, escalated or contained quickly enough, increasing operational and regulatory impact.</t>
  </si>
  <si>
    <t>Incident response plan; centralised logging; defined security contacts</t>
  </si>
  <si>
    <t>Define severity-based escalation matrix; conduct tabletop exercises twice annually; document post-incident review process</t>
  </si>
  <si>
    <t>Head of Information Security</t>
  </si>
  <si>
    <t>Treatment Action</t>
  </si>
  <si>
    <t>Action Owner</t>
  </si>
  <si>
    <t>Priority</t>
  </si>
  <si>
    <t>Progress %</t>
  </si>
  <si>
    <t>Management Notes</t>
  </si>
  <si>
    <t>Microsoft 365 account compromise through phishing</t>
  </si>
  <si>
    <t>High</t>
  </si>
  <si>
    <t>MFA expansion underway; privileged account controls prioritised</t>
  </si>
  <si>
    <t>Cloud misconfiguration exposes sensitive information</t>
  </si>
  <si>
    <t>Critical</t>
  </si>
  <si>
    <t>Secure configuration baseline being developed</t>
  </si>
  <si>
    <t>DDoS attack disrupts customer payment services</t>
  </si>
  <si>
    <t>Medium</t>
  </si>
  <si>
    <t>Existing DDoS controls effective; additional resilience testing scheduled</t>
  </si>
  <si>
    <t>Compromised privileged account enables unauthorised administrative activity</t>
  </si>
  <si>
    <t>PAM solution requirements under review</t>
  </si>
  <si>
    <t>Ransomware compromises employee endpoints and disrupts operations</t>
  </si>
  <si>
    <t>EDR deployment progressing across managed endpoints</t>
  </si>
  <si>
    <t>Unauthorised disclosure of customer personal information</t>
  </si>
  <si>
    <t>Access review initiated; DLP requirements being defined</t>
  </si>
  <si>
    <t>Critical SaaS supplier breach compromises information or service availability</t>
  </si>
  <si>
    <t>Critical supplier inventory being reviewed</t>
  </si>
  <si>
    <t>Public API weakness enables unauthorised access or transaction manipulation</t>
  </si>
  <si>
    <t>API security testing scope agreed</t>
  </si>
  <si>
    <t>Failure to restore systems following major disruption</t>
  </si>
  <si>
    <t>First restoration exercise being planned</t>
  </si>
  <si>
    <t>Known vulnerability exploited before remediation</t>
  </si>
  <si>
    <t>Draft remediation SLA developed</t>
  </si>
  <si>
    <t>Compromised remote-working environment enables unauthorised access</t>
  </si>
  <si>
    <t>Controls operating effectively; continued monitoring required</t>
  </si>
  <si>
    <t>Delayed security incident escalation increases business impact</t>
  </si>
  <si>
    <t>Escalation matrix drafted; tabletop exercise to be scheduled</t>
  </si>
  <si>
    <t>NovaPay Technologies Ltd — Cybersecurity Risk Matrix</t>
  </si>
  <si>
    <t>Likelihood ↓ / Impact →</t>
  </si>
  <si>
    <t>5 – Almost Certain</t>
  </si>
  <si>
    <t>4 – Likely</t>
  </si>
  <si>
    <t>3 – Possible</t>
  </si>
  <si>
    <t>2 – Unlikely</t>
  </si>
  <si>
    <t>1 – Rare</t>
  </si>
  <si>
    <t>Rating</t>
  </si>
  <si>
    <t>Score</t>
  </si>
  <si>
    <t>Low</t>
  </si>
  <si>
    <t>1–4</t>
  </si>
  <si>
    <t>5–9</t>
  </si>
  <si>
    <t>10–16</t>
  </si>
  <si>
    <t>17–25</t>
  </si>
  <si>
    <t>Risk Score = Likelihood × Impact</t>
  </si>
  <si>
    <t>NovaPay Technologies Ltd — Cybersecurity Risk Assessment</t>
  </si>
  <si>
    <t>Executive Risk Summary | September 2026</t>
  </si>
  <si>
    <t>Inherent</t>
  </si>
  <si>
    <t>Residual</t>
  </si>
  <si>
    <t>Risks Assessed</t>
  </si>
  <si>
    <t>Critical Inherent Risks</t>
  </si>
  <si>
    <t>High Residual Risks</t>
  </si>
  <si>
    <t>Critical Residual Risks</t>
  </si>
  <si>
    <t>Avg. Residual Risk Score</t>
  </si>
  <si>
    <t>Management Assessment</t>
  </si>
  <si>
    <t>The cybersecurity risk assessment identified significant inherent exposure across NovaPay's technology environment, with six of twelve assessed risks rated Critical before consideration of existing controls. Existing security controls reduce all Critical risks below the Critical threshold; however, nine risks remain High after control consideration.
The most significant residual exposures relate to cloud security, privileged access and customer data protection, each retaining a residual risk score of 15. These areas should receive priority management attention and accelerated remediation.
Continued treatment is also required across ransomware resilience, third-party security, API security, vulnerability management, backup and recovery, and Microsoft 365 account security.</t>
  </si>
  <si>
    <t>Priority Risk Findings</t>
  </si>
  <si>
    <t>Risk</t>
  </si>
  <si>
    <t>Area</t>
  </si>
  <si>
    <t>Residual Score</t>
  </si>
  <si>
    <t>Employee Endpoints / Ransomware</t>
  </si>
  <si>
    <t>Vulnerability Management</t>
  </si>
  <si>
    <t>Management Recommendations</t>
  </si>
  <si>
    <t>Accelerate Critical remediation: prioritise cloud configuration, privileged access and customer data protection improvements.</t>
  </si>
  <si>
    <t>Strengthen identity security: enforce MFA, conditional access and stronger privileged authentication controls.</t>
  </si>
  <si>
    <t>Improve cyber resilience:  complete ransomware exercises, restoration testing and incident-response tabletop exercises.</t>
  </si>
  <si>
    <t>Formalise vulnerability and third-party risk management:  introduce remediation SLAs and risk-tiered supplier monitoring.</t>
  </si>
  <si>
    <t>Monitor residual exposure: reassess High risks following treatment implementation and formally document management acceptance where further reduction is impractical.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</si>
</sst>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b/>
      <sz val="11"/>
      <color theme="0"/>
      <name val="Aptos Narrow"/>
      <family val="2"/>
      <scheme val="minor"/>
    </font>
    <font>
      <b/>
      <sz val="18"/>
      <color theme="1"/>
      <name val="Aptos Narrow"/>
      <family val="2"/>
      <scheme val="minor"/>
    </font>
    <font>
      <b/>
      <sz val="20"/>
      <color theme="1"/>
      <name val="Aptos Narrow"/>
      <family val="2"/>
      <scheme val="minor"/>
    </font>
    <font>
      <b/>
      <sz val="16"/>
      <color theme="1"/>
      <name val="Aptos Narrow"/>
      <family val="2"/>
      <scheme val="minor"/>
    </font>
    <font>
      <b/>
      <sz val="16"/>
      <color theme="0"/>
      <name val="Aptos Narrow"/>
      <family val="2"/>
      <scheme val="minor"/>
    </font>
    <font>
      <b/>
      <sz val="24"/>
      <color theme="1"/>
      <name val="Aptos Narrow"/>
      <family val="2"/>
      <scheme val="minor"/>
    </font>
    <font>
      <b/>
      <sz val="14"/>
      <color theme="1"/>
      <name val="Aptos Narrow"/>
      <family val="2"/>
      <scheme val="minor"/>
    </font>
    <font>
      <sz val="14"/>
      <color theme="1"/>
      <name val="Aptos Narrow"/>
      <family val="2"/>
      <scheme val="minor"/>
    </font>
    <font>
      <sz val="12"/>
      <color rgb="FF000000"/>
      <name val="Aptos Narrow"/>
      <scheme val="minor"/>
    </font>
  </fonts>
  <fills count="8">
    <fill>
      <patternFill patternType="none"/>
    </fill>
    <fill>
      <patternFill patternType="gray125"/>
    </fill>
    <fill>
      <patternFill patternType="solid">
        <fgColor theme="1"/>
        <bgColor indexed="64"/>
      </patternFill>
    </fill>
    <fill>
      <patternFill patternType="solid">
        <fgColor rgb="FFFFF7B8"/>
        <bgColor indexed="64"/>
      </patternFill>
    </fill>
    <fill>
      <patternFill patternType="solid">
        <fgColor rgb="FFFFA8A8"/>
        <bgColor indexed="64"/>
      </patternFill>
    </fill>
    <fill>
      <patternFill patternType="solid">
        <fgColor rgb="FFFFC994"/>
        <bgColor indexed="64"/>
      </patternFill>
    </fill>
    <fill>
      <patternFill patternType="solid">
        <fgColor theme="9" tint="0.59999389629810485"/>
        <bgColor indexed="64"/>
      </patternFill>
    </fill>
    <fill>
      <patternFill patternType="solid">
        <fgColor theme="3" tint="9.9978637043366805E-2"/>
        <bgColor indexed="64"/>
      </patternFill>
    </fill>
  </fills>
  <borders count="1">
    <border>
      <left/>
      <right/>
      <top/>
      <bottom/>
      <diagonal/>
    </border>
  </borders>
  <cellStyleXfs count="1">
    <xf numFmtId="0" fontId="0" fillId="0" borderId="0"/>
  </cellStyleXfs>
  <cellXfs count="36">
    <xf numFmtId="0" fontId="0" fillId="0" borderId="0" xfId="0"/>
    <xf numFmtId="0" fontId="1" fillId="0" borderId="0" xfId="0" applyFont="1"/>
    <xf numFmtId="0" fontId="0" fillId="0" borderId="0" xfId="0" applyAlignment="1">
      <alignment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0" borderId="0" xfId="0" applyFont="1" applyAlignment="1">
      <alignment vertical="center"/>
    </xf>
    <xf numFmtId="0" fontId="1" fillId="0" borderId="0" xfId="0" applyFont="1" applyAlignment="1">
      <alignment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0" fillId="0" borderId="0" xfId="0" applyAlignment="1">
      <alignment vertical="top" wrapText="1"/>
    </xf>
    <xf numFmtId="0" fontId="1" fillId="0" borderId="0" xfId="0" applyFont="1" applyAlignment="1">
      <alignment horizontal="left" vertical="top"/>
    </xf>
    <xf numFmtId="0" fontId="2" fillId="7" borderId="0" xfId="0" applyFont="1" applyFill="1" applyAlignment="1">
      <alignment wrapText="1"/>
    </xf>
    <xf numFmtId="0" fontId="0" fillId="0" borderId="0" xfId="0" applyAlignment="1">
      <alignment vertical="top"/>
    </xf>
    <xf numFmtId="0" fontId="2" fillId="2" borderId="0" xfId="0" applyFont="1" applyFill="1" applyAlignment="1">
      <alignment vertical="top" wrapText="1"/>
    </xf>
    <xf numFmtId="9" fontId="0" fillId="0" borderId="0" xfId="0" applyNumberFormat="1" applyAlignment="1">
      <alignment vertical="top"/>
    </xf>
    <xf numFmtId="0" fontId="7" fillId="0" borderId="0" xfId="0" applyFont="1" applyAlignment="1">
      <alignment horizontal="center" vertical="center" wrapText="1"/>
    </xf>
    <xf numFmtId="0" fontId="0" fillId="0" borderId="0" xfId="0" applyAlignment="1">
      <alignment horizontal="center" vertical="top"/>
    </xf>
    <xf numFmtId="0" fontId="8" fillId="0" borderId="0" xfId="0" applyFont="1" applyAlignment="1">
      <alignment vertical="center"/>
    </xf>
    <xf numFmtId="0" fontId="9" fillId="0" borderId="0" xfId="0" applyFont="1" applyAlignment="1">
      <alignment vertical="center"/>
    </xf>
    <xf numFmtId="0" fontId="0" fillId="0" borderId="0" xfId="0" applyAlignment="1">
      <alignment horizontal="left" vertical="top" wrapText="1"/>
    </xf>
    <xf numFmtId="0" fontId="1" fillId="0" borderId="0" xfId="0" applyFont="1" applyAlignment="1">
      <alignment horizontal="left"/>
    </xf>
    <xf numFmtId="0" fontId="0" fillId="0" borderId="0" xfId="0" applyAlignment="1">
      <alignment horizontal="left"/>
    </xf>
    <xf numFmtId="0" fontId="10" fillId="0" borderId="0" xfId="0" applyFont="1" applyAlignment="1">
      <alignment horizontal="left" wrapText="1"/>
    </xf>
    <xf numFmtId="0" fontId="10" fillId="0" borderId="0" xfId="0" applyFont="1" applyAlignment="1">
      <alignment horizontal="left"/>
    </xf>
    <xf numFmtId="0" fontId="0" fillId="0" borderId="0" xfId="0" applyAlignment="1">
      <alignment horizontal="left"/>
    </xf>
    <xf numFmtId="0" fontId="8" fillId="0" borderId="0" xfId="0" applyFont="1" applyAlignment="1">
      <alignment horizontal="left" vertical="center"/>
    </xf>
    <xf numFmtId="0" fontId="0" fillId="0" borderId="0" xfId="0" applyAlignment="1">
      <alignment horizontal="left" vertical="top" wrapText="1"/>
    </xf>
    <xf numFmtId="0" fontId="0" fillId="0" borderId="0" xfId="0" applyAlignment="1">
      <alignment horizontal="left" vertical="top"/>
    </xf>
    <xf numFmtId="0" fontId="6" fillId="2" borderId="0" xfId="0" applyFont="1" applyFill="1" applyAlignment="1">
      <alignment horizontal="left" vertical="center"/>
    </xf>
    <xf numFmtId="0" fontId="10" fillId="0" borderId="0" xfId="0" applyFont="1" applyAlignment="1">
      <alignment horizontal="left" vertical="top" wrapText="1"/>
    </xf>
    <xf numFmtId="0" fontId="1" fillId="0" borderId="0" xfId="0" applyFont="1" applyAlignment="1">
      <alignment horizontal="left"/>
    </xf>
    <xf numFmtId="0" fontId="5" fillId="0" borderId="0" xfId="0" applyFont="1" applyAlignment="1">
      <alignment horizontal="left" vertical="center"/>
    </xf>
  </cellXfs>
  <cellStyles count="1">
    <cellStyle name="Normal" xfId="0" builtinId="0"/>
  </cellStyles>
  <dxfs count="17">
    <dxf>
      <font>
        <color rgb="FF006100"/>
      </font>
      <fill>
        <patternFill>
          <bgColor rgb="FFC6EFCE"/>
        </patternFill>
      </fill>
    </dxf>
    <dxf>
      <font>
        <color rgb="FF9C5700"/>
      </font>
      <fill>
        <patternFill>
          <bgColor rgb="FFFFEB9C"/>
        </patternFill>
      </fill>
    </dxf>
    <dxf>
      <font>
        <color rgb="FF824E00"/>
      </font>
      <fill>
        <patternFill patternType="solid">
          <bgColor rgb="FFFAD28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patternType="solid">
          <bgColor rgb="FFFFE091"/>
        </patternFill>
      </fill>
    </dxf>
    <dxf>
      <font>
        <color rgb="FF9C0006"/>
      </font>
      <fill>
        <patternFill>
          <bgColor rgb="FFFFC7CE"/>
        </patternFill>
      </fill>
    </dxf>
    <dxf>
      <font>
        <color theme="1" tint="0.499984740745262"/>
      </font>
      <fill>
        <patternFill patternType="solid">
          <bgColor theme="0"/>
        </patternFill>
      </fill>
      <border>
        <left style="thin">
          <color rgb="FFE0E0E0"/>
        </left>
        <right style="thin">
          <color rgb="FFE0E0E0"/>
        </right>
        <top style="thin">
          <color rgb="FFE0E0E0"/>
        </top>
        <bottom style="thin">
          <color rgb="FFE0E0E0"/>
        </bottom>
      </border>
    </dxf>
    <dxf>
      <font>
        <color rgb="FF006100"/>
      </font>
      <fill>
        <patternFill>
          <bgColor rgb="FFC6EFCE"/>
        </patternFill>
      </fill>
    </dxf>
    <dxf>
      <font>
        <color rgb="FF9C5700"/>
      </font>
      <fill>
        <patternFill>
          <bgColor rgb="FFFFEB9C"/>
        </patternFill>
      </fill>
    </dxf>
    <dxf>
      <font>
        <color theme="5" tint="-0.499984740745262"/>
      </font>
      <fill>
        <patternFill patternType="solid">
          <bgColor theme="5" tint="0.399975585192419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5" tint="-0.499984740745262"/>
      </font>
      <fill>
        <patternFill patternType="solid">
          <bgColor theme="5" tint="0.39997558519241921"/>
        </patternFill>
      </fill>
    </dxf>
    <dxf>
      <font>
        <color rgb="FF9C0006"/>
      </font>
      <fill>
        <patternFill>
          <bgColor rgb="FFFFC7CE"/>
        </patternFill>
      </fill>
    </dxf>
  </dxfs>
  <tableStyles count="0" defaultTableStyle="TableStyleMedium2" defaultPivotStyle="PivotStyleMedium9"/>
  <colors>
    <mruColors>
      <color rgb="FF824E00"/>
      <color rgb="FFFAD28E"/>
      <color rgb="FFFFCF94"/>
      <color rgb="FF9C5800"/>
      <color rgb="FFFFE091"/>
      <color rgb="FF7A4E01"/>
      <color rgb="FFE0E0E0"/>
      <color rgb="FFFFA8A8"/>
      <color rgb="FFFFC994"/>
      <color rgb="FFFFF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t>Inherent vs Residual Risk Profile</a:t>
            </a:r>
          </a:p>
        </c:rich>
      </c:tx>
      <c:overlay val="0"/>
      <c:spPr>
        <a:noFill/>
        <a:ln>
          <a:solidFill>
            <a:srgbClr val="FFFFFF"/>
          </a:solidFill>
          <a:prstDash val="solid"/>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0"/>
          <c:order val="0"/>
          <c:tx>
            <c:strRef>
              <c:f>'Executive summaryy'!$O$2</c:f>
              <c:strCache>
                <c:ptCount val="1"/>
                <c:pt idx="0">
                  <c:v>Inherent</c:v>
                </c:pt>
              </c:strCache>
            </c:strRef>
          </c:tx>
          <c:spPr>
            <a:solidFill>
              <a:schemeClr val="accent1"/>
            </a:solidFill>
            <a:ln>
              <a:noFill/>
            </a:ln>
            <a:effectLst/>
          </c:spPr>
          <c:invertIfNegative val="0"/>
          <c:cat>
            <c:strRef>
              <c:f>'Executive summaryy'!$N$3:$N$6</c:f>
              <c:strCache>
                <c:ptCount val="4"/>
                <c:pt idx="0">
                  <c:v>Critical</c:v>
                </c:pt>
                <c:pt idx="1">
                  <c:v>High</c:v>
                </c:pt>
                <c:pt idx="2">
                  <c:v>Medium</c:v>
                </c:pt>
                <c:pt idx="3">
                  <c:v>Low</c:v>
                </c:pt>
              </c:strCache>
            </c:strRef>
          </c:cat>
          <c:val>
            <c:numRef>
              <c:f>'Executive summaryy'!$O$3:$O$6</c:f>
              <c:numCache>
                <c:formatCode>General</c:formatCode>
                <c:ptCount val="4"/>
                <c:pt idx="0">
                  <c:v>6</c:v>
                </c:pt>
                <c:pt idx="1">
                  <c:v>6</c:v>
                </c:pt>
                <c:pt idx="2">
                  <c:v>0</c:v>
                </c:pt>
                <c:pt idx="3">
                  <c:v>0</c:v>
                </c:pt>
              </c:numCache>
            </c:numRef>
          </c:val>
          <c:extLst>
            <c:ext xmlns:c16="http://schemas.microsoft.com/office/drawing/2014/chart" uri="{C3380CC4-5D6E-409C-BE32-E72D297353CC}">
              <c16:uniqueId val="{00000000-50D4-4CA6-91E2-69EA9158A316}"/>
            </c:ext>
          </c:extLst>
        </c:ser>
        <c:dLbls>
          <c:showLegendKey val="0"/>
          <c:showVal val="0"/>
          <c:showCatName val="0"/>
          <c:showSerName val="0"/>
          <c:showPercent val="0"/>
          <c:showBubbleSize val="0"/>
        </c:dLbls>
        <c:gapWidth val="150"/>
        <c:axId val="89586184"/>
        <c:axId val="411049480"/>
      </c:barChart>
      <c:lineChart>
        <c:grouping val="standard"/>
        <c:varyColors val="0"/>
        <c:ser>
          <c:idx val="1"/>
          <c:order val="1"/>
          <c:tx>
            <c:strRef>
              <c:f>'Executive summaryy'!$P$2</c:f>
              <c:strCache>
                <c:ptCount val="1"/>
                <c:pt idx="0">
                  <c:v>Residual</c:v>
                </c:pt>
              </c:strCache>
            </c:strRef>
          </c:tx>
          <c:spPr>
            <a:ln w="28575" cap="rnd">
              <a:solidFill>
                <a:schemeClr val="accent2"/>
              </a:solidFill>
              <a:round/>
            </a:ln>
            <a:effectLst/>
          </c:spPr>
          <c:marker>
            <c:symbol val="none"/>
          </c:marker>
          <c:cat>
            <c:strRef>
              <c:f>'Executive summaryy'!$N$3:$N$6</c:f>
              <c:strCache>
                <c:ptCount val="4"/>
                <c:pt idx="0">
                  <c:v>Critical</c:v>
                </c:pt>
                <c:pt idx="1">
                  <c:v>High</c:v>
                </c:pt>
                <c:pt idx="2">
                  <c:v>Medium</c:v>
                </c:pt>
                <c:pt idx="3">
                  <c:v>Low</c:v>
                </c:pt>
              </c:strCache>
            </c:strRef>
          </c:cat>
          <c:val>
            <c:numRef>
              <c:f>'Executive summaryy'!$P$3:$P$6</c:f>
              <c:numCache>
                <c:formatCode>General</c:formatCode>
                <c:ptCount val="4"/>
                <c:pt idx="0">
                  <c:v>0</c:v>
                </c:pt>
                <c:pt idx="1">
                  <c:v>9</c:v>
                </c:pt>
                <c:pt idx="2">
                  <c:v>3</c:v>
                </c:pt>
                <c:pt idx="3">
                  <c:v>0</c:v>
                </c:pt>
              </c:numCache>
            </c:numRef>
          </c:val>
          <c:smooth val="0"/>
          <c:extLst>
            <c:ext xmlns:c16="http://schemas.microsoft.com/office/drawing/2014/chart" uri="{C3380CC4-5D6E-409C-BE32-E72D297353CC}">
              <c16:uniqueId val="{00000002-50D4-4CA6-91E2-69EA9158A316}"/>
            </c:ext>
          </c:extLst>
        </c:ser>
        <c:dLbls>
          <c:showLegendKey val="0"/>
          <c:showVal val="0"/>
          <c:showCatName val="0"/>
          <c:showSerName val="0"/>
          <c:showPercent val="0"/>
          <c:showBubbleSize val="0"/>
        </c:dLbls>
        <c:marker val="1"/>
        <c:smooth val="0"/>
        <c:axId val="1961381383"/>
        <c:axId val="1961378311"/>
      </c:lineChart>
      <c:catAx>
        <c:axId val="89586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49480"/>
        <c:crosses val="autoZero"/>
        <c:auto val="1"/>
        <c:lblAlgn val="ctr"/>
        <c:lblOffset val="100"/>
        <c:noMultiLvlLbl val="0"/>
      </c:catAx>
      <c:valAx>
        <c:axId val="411049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86184"/>
        <c:crosses val="autoZero"/>
        <c:crossBetween val="between"/>
      </c:valAx>
      <c:valAx>
        <c:axId val="196137831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381383"/>
        <c:crosses val="max"/>
        <c:crossBetween val="between"/>
      </c:valAx>
      <c:catAx>
        <c:axId val="1961381383"/>
        <c:scaling>
          <c:orientation val="minMax"/>
        </c:scaling>
        <c:delete val="1"/>
        <c:axPos val="b"/>
        <c:numFmt formatCode="General" sourceLinked="1"/>
        <c:majorTickMark val="none"/>
        <c:minorTickMark val="none"/>
        <c:tickLblPos val="nextTo"/>
        <c:crossAx val="1961378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44</xdr:row>
      <xdr:rowOff>0</xdr:rowOff>
    </xdr:from>
    <xdr:to>
      <xdr:col>6</xdr:col>
      <xdr:colOff>1038225</xdr:colOff>
      <xdr:row>65</xdr:row>
      <xdr:rowOff>9525</xdr:rowOff>
    </xdr:to>
    <xdr:graphicFrame macro="">
      <xdr:nvGraphicFramePr>
        <xdr:cNvPr id="2" name="Chart 1">
          <a:extLst>
            <a:ext uri="{FF2B5EF4-FFF2-40B4-BE49-F238E27FC236}">
              <a16:creationId xmlns:a16="http://schemas.microsoft.com/office/drawing/2014/main" id="{BE4A0BDB-4016-CC6A-9108-19088CC85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FEAB-1C68-4C09-B94B-2B71856F3CFE}">
  <dimension ref="A1:T13"/>
  <sheetViews>
    <sheetView workbookViewId="0">
      <pane ySplit="1" topLeftCell="A2" activePane="bottomLeft" state="frozen"/>
      <selection pane="bottomLeft" activeCell="Q5" sqref="Q5"/>
    </sheetView>
  </sheetViews>
  <sheetFormatPr defaultRowHeight="15"/>
  <cols>
    <col min="1" max="1" width="6" customWidth="1"/>
    <col min="2" max="2" width="16.140625" customWidth="1"/>
    <col min="3" max="3" width="20" customWidth="1"/>
    <col min="4" max="4" width="21" customWidth="1"/>
    <col min="5" max="5" width="43.5703125" style="9" customWidth="1"/>
    <col min="6" max="6" width="6.85546875" customWidth="1"/>
    <col min="7" max="7" width="7" customWidth="1"/>
    <col min="8" max="8" width="9" customWidth="1"/>
    <col min="10" max="10" width="37" style="9" customWidth="1"/>
    <col min="11" max="11" width="18" customWidth="1"/>
    <col min="12" max="12" width="9.85546875" customWidth="1"/>
    <col min="13" max="13" width="8.5703125" customWidth="1"/>
    <col min="14" max="14" width="10.5703125" customWidth="1"/>
    <col min="17" max="17" width="38.7109375" style="9" customWidth="1"/>
    <col min="18" max="18" width="12.5703125" style="13" customWidth="1"/>
  </cols>
  <sheetData>
    <row r="1" spans="1:20" s="15" customFormat="1" ht="43.5">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row>
    <row r="2" spans="1:20" s="16" customFormat="1" ht="57.75">
      <c r="A2" s="16" t="s">
        <v>20</v>
      </c>
      <c r="B2" s="13" t="s">
        <v>21</v>
      </c>
      <c r="C2" s="13" t="s">
        <v>22</v>
      </c>
      <c r="D2" s="13" t="s">
        <v>23</v>
      </c>
      <c r="E2" s="13" t="s">
        <v>24</v>
      </c>
      <c r="F2" s="16">
        <v>4</v>
      </c>
      <c r="G2" s="16">
        <v>4</v>
      </c>
      <c r="H2" s="16">
        <f>F2*G2</f>
        <v>16</v>
      </c>
      <c r="I2" s="16" t="str">
        <f>IF(H2&lt;=4,"Low",IF(H2&lt;=9,"Medium",IF(H2&lt;=16,"High","Critical")))</f>
        <v>High</v>
      </c>
      <c r="J2" s="13" t="s">
        <v>25</v>
      </c>
      <c r="K2" s="16" t="s">
        <v>26</v>
      </c>
      <c r="L2" s="16">
        <v>3</v>
      </c>
      <c r="M2" s="16">
        <v>4</v>
      </c>
      <c r="N2" s="16">
        <f>L2*M2</f>
        <v>12</v>
      </c>
      <c r="O2" s="16" t="str">
        <f>IF(N2&lt;=4,"Low",IF(N2&lt;=9,"Medium",IF(N2&lt;=16,"High","Critical")))</f>
        <v>High</v>
      </c>
      <c r="P2" s="16" t="s">
        <v>27</v>
      </c>
      <c r="Q2" s="13" t="s">
        <v>28</v>
      </c>
      <c r="R2" s="13" t="s">
        <v>29</v>
      </c>
      <c r="S2" s="16" t="s">
        <v>30</v>
      </c>
      <c r="T2" s="16" t="s">
        <v>31</v>
      </c>
    </row>
    <row r="3" spans="1:20" s="16" customFormat="1" ht="57.75">
      <c r="A3" s="16" t="s">
        <v>32</v>
      </c>
      <c r="B3" s="13" t="s">
        <v>33</v>
      </c>
      <c r="C3" s="13" t="s">
        <v>34</v>
      </c>
      <c r="D3" s="13" t="s">
        <v>35</v>
      </c>
      <c r="E3" s="13" t="s">
        <v>36</v>
      </c>
      <c r="F3" s="16">
        <v>4</v>
      </c>
      <c r="G3" s="16">
        <v>5</v>
      </c>
      <c r="H3" s="16">
        <f t="shared" ref="H3:H13" si="0">F3*G3</f>
        <v>20</v>
      </c>
      <c r="I3" s="16" t="str">
        <f t="shared" ref="I3:I13" si="1">IF(H3&lt;=4,"Low",IF(H3&lt;=9,"Medium",IF(H3&lt;=16,"High","Critical")))</f>
        <v>Critical</v>
      </c>
      <c r="J3" s="13" t="s">
        <v>37</v>
      </c>
      <c r="K3" s="16" t="s">
        <v>26</v>
      </c>
      <c r="L3" s="16">
        <v>3</v>
      </c>
      <c r="M3" s="16">
        <v>5</v>
      </c>
      <c r="N3" s="16">
        <f t="shared" ref="N3:N13" si="2">L3*M3</f>
        <v>15</v>
      </c>
      <c r="O3" s="16" t="str">
        <f t="shared" ref="O3:O13" si="3">IF(N3&lt;=4,"Low",IF(N3&lt;=9,"Medium",IF(N3&lt;=16,"High","Critical")))</f>
        <v>High</v>
      </c>
      <c r="P3" s="16" t="s">
        <v>27</v>
      </c>
      <c r="Q3" s="13" t="s">
        <v>38</v>
      </c>
      <c r="R3" s="13" t="s">
        <v>39</v>
      </c>
      <c r="S3" s="16" t="s">
        <v>40</v>
      </c>
      <c r="T3" s="16" t="s">
        <v>31</v>
      </c>
    </row>
    <row r="4" spans="1:20" s="16" customFormat="1" ht="57.75">
      <c r="A4" s="16" t="s">
        <v>41</v>
      </c>
      <c r="B4" s="13" t="s">
        <v>42</v>
      </c>
      <c r="C4" s="13" t="s">
        <v>43</v>
      </c>
      <c r="D4" s="13" t="s">
        <v>44</v>
      </c>
      <c r="E4" s="13" t="s">
        <v>45</v>
      </c>
      <c r="F4" s="16">
        <v>4</v>
      </c>
      <c r="G4" s="16">
        <v>4</v>
      </c>
      <c r="H4" s="16">
        <f t="shared" si="0"/>
        <v>16</v>
      </c>
      <c r="I4" s="16" t="str">
        <f t="shared" si="1"/>
        <v>High</v>
      </c>
      <c r="J4" s="13" t="s">
        <v>46</v>
      </c>
      <c r="K4" s="16" t="s">
        <v>47</v>
      </c>
      <c r="L4" s="16">
        <v>2</v>
      </c>
      <c r="M4" s="16">
        <v>4</v>
      </c>
      <c r="N4" s="16">
        <f t="shared" si="2"/>
        <v>8</v>
      </c>
      <c r="O4" s="16" t="str">
        <f t="shared" si="3"/>
        <v>Medium</v>
      </c>
      <c r="P4" s="16" t="s">
        <v>27</v>
      </c>
      <c r="Q4" s="13" t="s">
        <v>48</v>
      </c>
      <c r="R4" s="13" t="s">
        <v>49</v>
      </c>
      <c r="S4" s="16" t="s">
        <v>50</v>
      </c>
      <c r="T4" s="16" t="s">
        <v>51</v>
      </c>
    </row>
    <row r="5" spans="1:20" s="16" customFormat="1" ht="57.75">
      <c r="A5" s="16" t="s">
        <v>52</v>
      </c>
      <c r="B5" s="13" t="s">
        <v>53</v>
      </c>
      <c r="C5" s="13" t="s">
        <v>54</v>
      </c>
      <c r="D5" s="13" t="s">
        <v>55</v>
      </c>
      <c r="E5" s="13" t="s">
        <v>56</v>
      </c>
      <c r="F5" s="16">
        <v>4</v>
      </c>
      <c r="G5" s="16">
        <v>5</v>
      </c>
      <c r="H5" s="16">
        <f t="shared" si="0"/>
        <v>20</v>
      </c>
      <c r="I5" s="16" t="str">
        <f t="shared" si="1"/>
        <v>Critical</v>
      </c>
      <c r="J5" s="13" t="s">
        <v>57</v>
      </c>
      <c r="K5" s="16" t="s">
        <v>26</v>
      </c>
      <c r="L5" s="16">
        <v>3</v>
      </c>
      <c r="M5" s="16">
        <v>5</v>
      </c>
      <c r="N5" s="16">
        <f t="shared" si="2"/>
        <v>15</v>
      </c>
      <c r="O5" s="16" t="str">
        <f t="shared" si="3"/>
        <v>High</v>
      </c>
      <c r="P5" s="16" t="s">
        <v>27</v>
      </c>
      <c r="Q5" s="13" t="s">
        <v>58</v>
      </c>
      <c r="R5" s="13" t="s">
        <v>29</v>
      </c>
      <c r="S5" s="16" t="s">
        <v>30</v>
      </c>
      <c r="T5" s="16" t="s">
        <v>31</v>
      </c>
    </row>
    <row r="6" spans="1:20" s="16" customFormat="1" ht="57.75">
      <c r="A6" s="16" t="s">
        <v>59</v>
      </c>
      <c r="B6" s="13" t="s">
        <v>60</v>
      </c>
      <c r="C6" s="13" t="s">
        <v>61</v>
      </c>
      <c r="D6" s="13" t="s">
        <v>62</v>
      </c>
      <c r="E6" s="13" t="s">
        <v>63</v>
      </c>
      <c r="F6" s="16">
        <v>4</v>
      </c>
      <c r="G6" s="16">
        <v>5</v>
      </c>
      <c r="H6" s="16">
        <f t="shared" si="0"/>
        <v>20</v>
      </c>
      <c r="I6" s="16" t="str">
        <f t="shared" si="1"/>
        <v>Critical</v>
      </c>
      <c r="J6" s="13" t="s">
        <v>64</v>
      </c>
      <c r="K6" s="16" t="s">
        <v>26</v>
      </c>
      <c r="L6" s="16">
        <v>3</v>
      </c>
      <c r="M6" s="16">
        <v>4</v>
      </c>
      <c r="N6" s="16">
        <f t="shared" si="2"/>
        <v>12</v>
      </c>
      <c r="O6" s="16" t="str">
        <f t="shared" si="3"/>
        <v>High</v>
      </c>
      <c r="P6" s="16" t="s">
        <v>27</v>
      </c>
      <c r="Q6" s="13" t="s">
        <v>65</v>
      </c>
      <c r="R6" s="13" t="s">
        <v>66</v>
      </c>
      <c r="S6" s="16" t="s">
        <v>67</v>
      </c>
      <c r="T6" s="16" t="s">
        <v>31</v>
      </c>
    </row>
    <row r="7" spans="1:20" s="16" customFormat="1" ht="43.5">
      <c r="A7" s="16" t="s">
        <v>68</v>
      </c>
      <c r="B7" s="13" t="s">
        <v>69</v>
      </c>
      <c r="C7" s="13" t="s">
        <v>70</v>
      </c>
      <c r="D7" s="13" t="s">
        <v>71</v>
      </c>
      <c r="E7" s="13" t="s">
        <v>72</v>
      </c>
      <c r="F7" s="16">
        <v>4</v>
      </c>
      <c r="G7" s="16">
        <v>5</v>
      </c>
      <c r="H7" s="16">
        <f t="shared" si="0"/>
        <v>20</v>
      </c>
      <c r="I7" s="16" t="str">
        <f t="shared" si="1"/>
        <v>Critical</v>
      </c>
      <c r="J7" s="13" t="s">
        <v>73</v>
      </c>
      <c r="K7" s="16" t="s">
        <v>26</v>
      </c>
      <c r="L7" s="16">
        <v>3</v>
      </c>
      <c r="M7" s="16">
        <v>5</v>
      </c>
      <c r="N7" s="16">
        <f t="shared" si="2"/>
        <v>15</v>
      </c>
      <c r="O7" s="16" t="str">
        <f t="shared" si="3"/>
        <v>High</v>
      </c>
      <c r="P7" s="16" t="s">
        <v>27</v>
      </c>
      <c r="Q7" s="13" t="s">
        <v>74</v>
      </c>
      <c r="R7" s="13" t="s">
        <v>75</v>
      </c>
      <c r="S7" s="16" t="s">
        <v>50</v>
      </c>
      <c r="T7" s="16" t="s">
        <v>31</v>
      </c>
    </row>
    <row r="8" spans="1:20" s="16" customFormat="1" ht="43.5">
      <c r="A8" s="16" t="s">
        <v>76</v>
      </c>
      <c r="B8" s="13" t="s">
        <v>77</v>
      </c>
      <c r="C8" s="13" t="s">
        <v>78</v>
      </c>
      <c r="D8" s="13" t="s">
        <v>79</v>
      </c>
      <c r="E8" s="13" t="s">
        <v>80</v>
      </c>
      <c r="F8" s="16">
        <v>4</v>
      </c>
      <c r="G8" s="16">
        <v>4</v>
      </c>
      <c r="H8" s="16">
        <f t="shared" si="0"/>
        <v>16</v>
      </c>
      <c r="I8" s="16" t="str">
        <f t="shared" si="1"/>
        <v>High</v>
      </c>
      <c r="J8" s="13" t="s">
        <v>81</v>
      </c>
      <c r="K8" s="16" t="s">
        <v>26</v>
      </c>
      <c r="L8" s="16">
        <v>3</v>
      </c>
      <c r="M8" s="16">
        <v>4</v>
      </c>
      <c r="N8" s="16">
        <f t="shared" si="2"/>
        <v>12</v>
      </c>
      <c r="O8" s="16" t="str">
        <f t="shared" si="3"/>
        <v>High</v>
      </c>
      <c r="P8" s="16" t="s">
        <v>27</v>
      </c>
      <c r="Q8" s="13" t="s">
        <v>82</v>
      </c>
      <c r="R8" s="13" t="s">
        <v>83</v>
      </c>
      <c r="S8" s="16" t="s">
        <v>84</v>
      </c>
      <c r="T8" s="16" t="s">
        <v>31</v>
      </c>
    </row>
    <row r="9" spans="1:20" s="16" customFormat="1" ht="57.75">
      <c r="A9" s="16" t="s">
        <v>85</v>
      </c>
      <c r="B9" s="13" t="s">
        <v>86</v>
      </c>
      <c r="C9" s="13" t="s">
        <v>87</v>
      </c>
      <c r="D9" s="13" t="s">
        <v>88</v>
      </c>
      <c r="E9" s="13" t="s">
        <v>89</v>
      </c>
      <c r="F9" s="16">
        <v>4</v>
      </c>
      <c r="G9" s="16">
        <v>5</v>
      </c>
      <c r="H9" s="16">
        <f t="shared" si="0"/>
        <v>20</v>
      </c>
      <c r="I9" s="16" t="str">
        <f t="shared" si="1"/>
        <v>Critical</v>
      </c>
      <c r="J9" s="13" t="s">
        <v>90</v>
      </c>
      <c r="K9" s="16" t="s">
        <v>26</v>
      </c>
      <c r="L9" s="16">
        <v>3</v>
      </c>
      <c r="M9" s="16">
        <v>4</v>
      </c>
      <c r="N9" s="16">
        <f t="shared" si="2"/>
        <v>12</v>
      </c>
      <c r="O9" s="16" t="str">
        <f t="shared" si="3"/>
        <v>High</v>
      </c>
      <c r="P9" s="16" t="s">
        <v>27</v>
      </c>
      <c r="Q9" s="13" t="s">
        <v>91</v>
      </c>
      <c r="R9" s="13" t="s">
        <v>92</v>
      </c>
      <c r="S9" s="16" t="s">
        <v>50</v>
      </c>
      <c r="T9" s="16" t="s">
        <v>31</v>
      </c>
    </row>
    <row r="10" spans="1:20" s="16" customFormat="1" ht="43.5">
      <c r="A10" s="16" t="s">
        <v>93</v>
      </c>
      <c r="B10" s="13" t="s">
        <v>94</v>
      </c>
      <c r="C10" s="13" t="s">
        <v>95</v>
      </c>
      <c r="D10" s="13" t="s">
        <v>96</v>
      </c>
      <c r="E10" s="13" t="s">
        <v>97</v>
      </c>
      <c r="F10" s="16">
        <v>3</v>
      </c>
      <c r="G10" s="16">
        <v>5</v>
      </c>
      <c r="H10" s="16">
        <f t="shared" si="0"/>
        <v>15</v>
      </c>
      <c r="I10" s="16" t="str">
        <f t="shared" si="1"/>
        <v>High</v>
      </c>
      <c r="J10" s="13" t="s">
        <v>98</v>
      </c>
      <c r="K10" s="16" t="s">
        <v>26</v>
      </c>
      <c r="L10" s="16">
        <v>2</v>
      </c>
      <c r="M10" s="16">
        <v>5</v>
      </c>
      <c r="N10" s="16">
        <f t="shared" si="2"/>
        <v>10</v>
      </c>
      <c r="O10" s="16" t="str">
        <f t="shared" si="3"/>
        <v>High</v>
      </c>
      <c r="P10" s="16" t="s">
        <v>27</v>
      </c>
      <c r="Q10" s="13" t="s">
        <v>99</v>
      </c>
      <c r="R10" s="13" t="s">
        <v>100</v>
      </c>
      <c r="S10" s="16" t="s">
        <v>67</v>
      </c>
      <c r="T10" s="16" t="s">
        <v>31</v>
      </c>
    </row>
    <row r="11" spans="1:20" s="16" customFormat="1" ht="57.75">
      <c r="A11" s="16" t="s">
        <v>101</v>
      </c>
      <c r="B11" s="13" t="s">
        <v>102</v>
      </c>
      <c r="C11" s="13" t="s">
        <v>103</v>
      </c>
      <c r="D11" s="13" t="s">
        <v>104</v>
      </c>
      <c r="E11" s="13" t="s">
        <v>105</v>
      </c>
      <c r="F11" s="16">
        <v>4</v>
      </c>
      <c r="G11" s="16">
        <v>5</v>
      </c>
      <c r="H11" s="16">
        <f t="shared" si="0"/>
        <v>20</v>
      </c>
      <c r="I11" s="16" t="str">
        <f t="shared" si="1"/>
        <v>Critical</v>
      </c>
      <c r="J11" s="13" t="s">
        <v>106</v>
      </c>
      <c r="K11" s="16" t="s">
        <v>26</v>
      </c>
      <c r="L11" s="16">
        <v>3</v>
      </c>
      <c r="M11" s="16">
        <v>4</v>
      </c>
      <c r="N11" s="16">
        <f t="shared" si="2"/>
        <v>12</v>
      </c>
      <c r="O11" s="16" t="str">
        <f t="shared" si="3"/>
        <v>High</v>
      </c>
      <c r="P11" s="16" t="s">
        <v>27</v>
      </c>
      <c r="Q11" s="13" t="s">
        <v>107</v>
      </c>
      <c r="R11" s="13" t="s">
        <v>108</v>
      </c>
      <c r="S11" s="16" t="s">
        <v>30</v>
      </c>
      <c r="T11" s="16" t="s">
        <v>31</v>
      </c>
    </row>
    <row r="12" spans="1:20" s="16" customFormat="1" ht="72.75">
      <c r="A12" s="16" t="s">
        <v>109</v>
      </c>
      <c r="B12" s="13" t="s">
        <v>110</v>
      </c>
      <c r="C12" s="13" t="s">
        <v>111</v>
      </c>
      <c r="D12" s="13" t="s">
        <v>112</v>
      </c>
      <c r="E12" s="13" t="s">
        <v>113</v>
      </c>
      <c r="F12" s="16">
        <v>3</v>
      </c>
      <c r="G12" s="16">
        <v>4</v>
      </c>
      <c r="H12" s="16">
        <f t="shared" si="0"/>
        <v>12</v>
      </c>
      <c r="I12" s="16" t="str">
        <f t="shared" si="1"/>
        <v>High</v>
      </c>
      <c r="J12" s="13" t="s">
        <v>114</v>
      </c>
      <c r="K12" s="16" t="s">
        <v>47</v>
      </c>
      <c r="L12" s="16">
        <v>2</v>
      </c>
      <c r="M12" s="16">
        <v>3</v>
      </c>
      <c r="N12" s="16">
        <f t="shared" si="2"/>
        <v>6</v>
      </c>
      <c r="O12" s="16" t="str">
        <f t="shared" si="3"/>
        <v>Medium</v>
      </c>
      <c r="P12" s="16" t="s">
        <v>115</v>
      </c>
      <c r="Q12" s="13" t="s">
        <v>116</v>
      </c>
      <c r="R12" s="13" t="s">
        <v>117</v>
      </c>
      <c r="S12" s="16" t="s">
        <v>50</v>
      </c>
      <c r="T12" s="16" t="s">
        <v>51</v>
      </c>
    </row>
    <row r="13" spans="1:20" s="16" customFormat="1" ht="57.75">
      <c r="A13" s="16" t="s">
        <v>118</v>
      </c>
      <c r="B13" s="13" t="s">
        <v>119</v>
      </c>
      <c r="C13" s="13" t="s">
        <v>120</v>
      </c>
      <c r="D13" s="13" t="s">
        <v>121</v>
      </c>
      <c r="E13" s="13" t="s">
        <v>122</v>
      </c>
      <c r="F13" s="16">
        <v>3</v>
      </c>
      <c r="G13" s="16">
        <v>5</v>
      </c>
      <c r="H13" s="16">
        <f t="shared" si="0"/>
        <v>15</v>
      </c>
      <c r="I13" s="16" t="str">
        <f t="shared" si="1"/>
        <v>High</v>
      </c>
      <c r="J13" s="13" t="s">
        <v>123</v>
      </c>
      <c r="K13" s="16" t="s">
        <v>26</v>
      </c>
      <c r="L13" s="16">
        <v>2</v>
      </c>
      <c r="M13" s="16">
        <v>4</v>
      </c>
      <c r="N13" s="16">
        <f t="shared" si="2"/>
        <v>8</v>
      </c>
      <c r="O13" s="16" t="str">
        <f t="shared" si="3"/>
        <v>Medium</v>
      </c>
      <c r="P13" s="16" t="s">
        <v>27</v>
      </c>
      <c r="Q13" s="13" t="s">
        <v>124</v>
      </c>
      <c r="R13" s="13" t="s">
        <v>125</v>
      </c>
      <c r="S13" s="16" t="s">
        <v>84</v>
      </c>
      <c r="T13" s="16" t="s">
        <v>31</v>
      </c>
    </row>
  </sheetData>
  <autoFilter ref="A1:T1" xr:uid="{7ED5FEAB-1C68-4C09-B94B-2B71856F3CFE}"/>
  <conditionalFormatting sqref="I2:I13">
    <cfRule type="containsText" dxfId="16" priority="10" operator="containsText" text="Critical">
      <formula>NOT(ISERROR(SEARCH("Critical",I2)))</formula>
    </cfRule>
  </conditionalFormatting>
  <conditionalFormatting sqref="I2:I13">
    <cfRule type="containsText" dxfId="15" priority="9" operator="containsText" text="High">
      <formula>NOT(ISERROR(SEARCH("High",I2)))</formula>
    </cfRule>
  </conditionalFormatting>
  <conditionalFormatting sqref="I2:I13">
    <cfRule type="containsText" dxfId="14" priority="8" operator="containsText" text="Medium">
      <formula>NOT(ISERROR(SEARCH("Medium",I2)))</formula>
    </cfRule>
  </conditionalFormatting>
  <conditionalFormatting sqref="I2:I13">
    <cfRule type="containsText" dxfId="13" priority="7" operator="containsText" text="Low">
      <formula>NOT(ISERROR(SEARCH("Low",I2)))</formula>
    </cfRule>
  </conditionalFormatting>
  <conditionalFormatting sqref="O2:O13">
    <cfRule type="containsText" dxfId="12" priority="6" operator="containsText" text="Critical">
      <formula>NOT(ISERROR(SEARCH("Critical",O2)))</formula>
    </cfRule>
  </conditionalFormatting>
  <conditionalFormatting sqref="O2:O13">
    <cfRule type="containsText" dxfId="11" priority="5" operator="containsText" text="High">
      <formula>NOT(ISERROR(SEARCH("High",O2)))</formula>
    </cfRule>
  </conditionalFormatting>
  <conditionalFormatting sqref="O2:O13">
    <cfRule type="containsText" dxfId="10" priority="4" operator="containsText" text="Medium">
      <formula>NOT(ISERROR(SEARCH("Medium",O2)))</formula>
    </cfRule>
  </conditionalFormatting>
  <conditionalFormatting sqref="O2:O13">
    <cfRule type="containsText" dxfId="9" priority="3" operator="containsText" text="Low">
      <formula>NOT(ISERROR(SEARCH("Low",O2)))</formula>
    </cfRule>
  </conditionalFormatting>
  <conditionalFormatting sqref="K2:K13">
    <cfRule type="containsText" dxfId="8" priority="2" operator="containsText" text="Partially Effective">
      <formula>NOT(ISERROR(SEARCH("Partially Effective",K2)))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0ED6-F337-4A49-B506-B2A668D7BB83}">
  <dimension ref="A1:L19"/>
  <sheetViews>
    <sheetView workbookViewId="0">
      <pane ySplit="1" topLeftCell="B2" activePane="bottomLeft" state="frozen"/>
      <selection pane="bottomLeft" activeCell="K2" sqref="K2:K13"/>
    </sheetView>
  </sheetViews>
  <sheetFormatPr defaultRowHeight="15"/>
  <cols>
    <col min="2" max="2" width="21" customWidth="1"/>
    <col min="6" max="6" width="38.140625" customWidth="1"/>
    <col min="12" max="12" width="26.140625" customWidth="1"/>
  </cols>
  <sheetData>
    <row r="1" spans="1:12" s="17" customFormat="1" ht="43.5">
      <c r="A1" s="17" t="s">
        <v>0</v>
      </c>
      <c r="B1" s="17" t="s">
        <v>4</v>
      </c>
      <c r="C1" s="17" t="s">
        <v>13</v>
      </c>
      <c r="D1" s="17" t="s">
        <v>14</v>
      </c>
      <c r="E1" s="17" t="s">
        <v>15</v>
      </c>
      <c r="F1" s="17" t="s">
        <v>126</v>
      </c>
      <c r="G1" s="17" t="s">
        <v>127</v>
      </c>
      <c r="H1" s="17" t="s">
        <v>128</v>
      </c>
      <c r="I1" s="17" t="s">
        <v>18</v>
      </c>
      <c r="J1" s="17" t="s">
        <v>19</v>
      </c>
      <c r="K1" s="17" t="s">
        <v>129</v>
      </c>
      <c r="L1" s="17" t="s">
        <v>130</v>
      </c>
    </row>
    <row r="2" spans="1:12" ht="57.75">
      <c r="A2" s="16" t="s">
        <v>20</v>
      </c>
      <c r="B2" s="13" t="s">
        <v>131</v>
      </c>
      <c r="C2" s="16">
        <v>12</v>
      </c>
      <c r="D2" s="16" t="s">
        <v>132</v>
      </c>
      <c r="E2" s="16" t="s">
        <v>27</v>
      </c>
      <c r="F2" s="13" t="s">
        <v>28</v>
      </c>
      <c r="G2" s="16" t="s">
        <v>29</v>
      </c>
      <c r="H2" s="16" t="s">
        <v>132</v>
      </c>
      <c r="I2" s="16" t="s">
        <v>30</v>
      </c>
      <c r="J2" s="13" t="s">
        <v>31</v>
      </c>
      <c r="K2" s="18">
        <v>0.4</v>
      </c>
      <c r="L2" s="13" t="s">
        <v>133</v>
      </c>
    </row>
    <row r="3" spans="1:12" ht="57.75">
      <c r="A3" s="16" t="s">
        <v>32</v>
      </c>
      <c r="B3" s="13" t="s">
        <v>134</v>
      </c>
      <c r="C3" s="16">
        <v>15</v>
      </c>
      <c r="D3" s="16" t="s">
        <v>132</v>
      </c>
      <c r="E3" s="16" t="s">
        <v>27</v>
      </c>
      <c r="F3" s="13" t="s">
        <v>38</v>
      </c>
      <c r="G3" s="16" t="s">
        <v>39</v>
      </c>
      <c r="H3" s="16" t="s">
        <v>135</v>
      </c>
      <c r="I3" s="16" t="s">
        <v>40</v>
      </c>
      <c r="J3" s="13" t="s">
        <v>31</v>
      </c>
      <c r="K3" s="18">
        <v>0.25</v>
      </c>
      <c r="L3" s="13" t="s">
        <v>136</v>
      </c>
    </row>
    <row r="4" spans="1:12" ht="43.5">
      <c r="A4" s="16" t="s">
        <v>41</v>
      </c>
      <c r="B4" s="13" t="s">
        <v>137</v>
      </c>
      <c r="C4" s="16">
        <v>8</v>
      </c>
      <c r="D4" s="16" t="s">
        <v>138</v>
      </c>
      <c r="E4" s="16" t="s">
        <v>27</v>
      </c>
      <c r="F4" s="13" t="s">
        <v>48</v>
      </c>
      <c r="G4" s="16" t="s">
        <v>49</v>
      </c>
      <c r="H4" s="16" t="s">
        <v>138</v>
      </c>
      <c r="I4" s="16" t="s">
        <v>50</v>
      </c>
      <c r="J4" s="13" t="s">
        <v>51</v>
      </c>
      <c r="K4" s="18">
        <v>0.7</v>
      </c>
      <c r="L4" s="13" t="s">
        <v>139</v>
      </c>
    </row>
    <row r="5" spans="1:12" ht="57.75">
      <c r="A5" s="16" t="s">
        <v>52</v>
      </c>
      <c r="B5" s="13" t="s">
        <v>140</v>
      </c>
      <c r="C5" s="16">
        <v>15</v>
      </c>
      <c r="D5" s="16" t="s">
        <v>132</v>
      </c>
      <c r="E5" s="16" t="s">
        <v>27</v>
      </c>
      <c r="F5" s="13" t="s">
        <v>58</v>
      </c>
      <c r="G5" s="16" t="s">
        <v>29</v>
      </c>
      <c r="H5" s="16" t="s">
        <v>135</v>
      </c>
      <c r="I5" s="16" t="s">
        <v>30</v>
      </c>
      <c r="J5" s="13" t="s">
        <v>31</v>
      </c>
      <c r="K5" s="18">
        <v>0.2</v>
      </c>
      <c r="L5" s="13" t="s">
        <v>141</v>
      </c>
    </row>
    <row r="6" spans="1:12" ht="57.75">
      <c r="A6" s="16" t="s">
        <v>59</v>
      </c>
      <c r="B6" s="13" t="s">
        <v>142</v>
      </c>
      <c r="C6" s="16">
        <v>12</v>
      </c>
      <c r="D6" s="16" t="s">
        <v>132</v>
      </c>
      <c r="E6" s="16" t="s">
        <v>27</v>
      </c>
      <c r="F6" s="13" t="s">
        <v>65</v>
      </c>
      <c r="G6" s="16" t="s">
        <v>66</v>
      </c>
      <c r="H6" s="16" t="s">
        <v>132</v>
      </c>
      <c r="I6" s="16" t="s">
        <v>67</v>
      </c>
      <c r="J6" s="13" t="s">
        <v>31</v>
      </c>
      <c r="K6" s="18">
        <v>0.45</v>
      </c>
      <c r="L6" s="13" t="s">
        <v>143</v>
      </c>
    </row>
    <row r="7" spans="1:12" ht="43.5">
      <c r="A7" s="16" t="s">
        <v>68</v>
      </c>
      <c r="B7" s="13" t="s">
        <v>144</v>
      </c>
      <c r="C7" s="16">
        <v>15</v>
      </c>
      <c r="D7" s="16" t="s">
        <v>132</v>
      </c>
      <c r="E7" s="16" t="s">
        <v>27</v>
      </c>
      <c r="F7" s="13" t="s">
        <v>74</v>
      </c>
      <c r="G7" s="16" t="s">
        <v>75</v>
      </c>
      <c r="H7" s="16" t="s">
        <v>135</v>
      </c>
      <c r="I7" s="16" t="s">
        <v>50</v>
      </c>
      <c r="J7" s="13" t="s">
        <v>31</v>
      </c>
      <c r="K7" s="18">
        <v>0.3</v>
      </c>
      <c r="L7" s="13" t="s">
        <v>145</v>
      </c>
    </row>
    <row r="8" spans="1:12" ht="57.75">
      <c r="A8" s="16" t="s">
        <v>76</v>
      </c>
      <c r="B8" s="13" t="s">
        <v>146</v>
      </c>
      <c r="C8" s="16">
        <v>12</v>
      </c>
      <c r="D8" s="16" t="s">
        <v>132</v>
      </c>
      <c r="E8" s="16" t="s">
        <v>27</v>
      </c>
      <c r="F8" s="13" t="s">
        <v>82</v>
      </c>
      <c r="G8" s="16" t="s">
        <v>83</v>
      </c>
      <c r="H8" s="16" t="s">
        <v>132</v>
      </c>
      <c r="I8" s="16" t="s">
        <v>84</v>
      </c>
      <c r="J8" s="13" t="s">
        <v>31</v>
      </c>
      <c r="K8" s="18">
        <v>0.35</v>
      </c>
      <c r="L8" s="13" t="s">
        <v>147</v>
      </c>
    </row>
    <row r="9" spans="1:12" ht="57.75">
      <c r="A9" s="16" t="s">
        <v>85</v>
      </c>
      <c r="B9" s="13" t="s">
        <v>148</v>
      </c>
      <c r="C9" s="16">
        <v>12</v>
      </c>
      <c r="D9" s="16" t="s">
        <v>132</v>
      </c>
      <c r="E9" s="16" t="s">
        <v>27</v>
      </c>
      <c r="F9" s="13" t="s">
        <v>91</v>
      </c>
      <c r="G9" s="16" t="s">
        <v>92</v>
      </c>
      <c r="H9" s="16" t="s">
        <v>132</v>
      </c>
      <c r="I9" s="16" t="s">
        <v>50</v>
      </c>
      <c r="J9" s="13" t="s">
        <v>31</v>
      </c>
      <c r="K9" s="18">
        <v>0.4</v>
      </c>
      <c r="L9" s="13" t="s">
        <v>149</v>
      </c>
    </row>
    <row r="10" spans="1:12" ht="43.5">
      <c r="A10" s="16" t="s">
        <v>93</v>
      </c>
      <c r="B10" s="13" t="s">
        <v>150</v>
      </c>
      <c r="C10" s="16">
        <v>10</v>
      </c>
      <c r="D10" s="16" t="s">
        <v>132</v>
      </c>
      <c r="E10" s="16" t="s">
        <v>27</v>
      </c>
      <c r="F10" s="13" t="s">
        <v>99</v>
      </c>
      <c r="G10" s="16" t="s">
        <v>100</v>
      </c>
      <c r="H10" s="16" t="s">
        <v>132</v>
      </c>
      <c r="I10" s="16" t="s">
        <v>67</v>
      </c>
      <c r="J10" s="13" t="s">
        <v>31</v>
      </c>
      <c r="K10" s="18">
        <v>0.5</v>
      </c>
      <c r="L10" s="13" t="s">
        <v>151</v>
      </c>
    </row>
    <row r="11" spans="1:12" ht="43.5">
      <c r="A11" s="16" t="s">
        <v>101</v>
      </c>
      <c r="B11" s="13" t="s">
        <v>152</v>
      </c>
      <c r="C11" s="16">
        <v>12</v>
      </c>
      <c r="D11" s="16" t="s">
        <v>132</v>
      </c>
      <c r="E11" s="16" t="s">
        <v>27</v>
      </c>
      <c r="F11" s="13" t="s">
        <v>107</v>
      </c>
      <c r="G11" s="16" t="s">
        <v>108</v>
      </c>
      <c r="H11" s="16" t="s">
        <v>132</v>
      </c>
      <c r="I11" s="16" t="s">
        <v>30</v>
      </c>
      <c r="J11" s="13" t="s">
        <v>31</v>
      </c>
      <c r="K11" s="18">
        <v>0.55000000000000004</v>
      </c>
      <c r="L11" s="13" t="s">
        <v>153</v>
      </c>
    </row>
    <row r="12" spans="1:12" ht="57.75">
      <c r="A12" s="16" t="s">
        <v>109</v>
      </c>
      <c r="B12" s="13" t="s">
        <v>154</v>
      </c>
      <c r="C12" s="16">
        <v>6</v>
      </c>
      <c r="D12" s="16" t="s">
        <v>138</v>
      </c>
      <c r="E12" s="16" t="s">
        <v>115</v>
      </c>
      <c r="F12" s="13" t="s">
        <v>116</v>
      </c>
      <c r="G12" s="16" t="s">
        <v>117</v>
      </c>
      <c r="H12" s="16" t="s">
        <v>138</v>
      </c>
      <c r="I12" s="16" t="s">
        <v>50</v>
      </c>
      <c r="J12" s="13" t="s">
        <v>51</v>
      </c>
      <c r="K12" s="18">
        <v>0.75</v>
      </c>
      <c r="L12" s="13" t="s">
        <v>155</v>
      </c>
    </row>
    <row r="13" spans="1:12" ht="57.75">
      <c r="A13" s="16" t="s">
        <v>118</v>
      </c>
      <c r="B13" s="13" t="s">
        <v>156</v>
      </c>
      <c r="C13" s="16">
        <v>8</v>
      </c>
      <c r="D13" s="16" t="s">
        <v>138</v>
      </c>
      <c r="E13" s="16" t="s">
        <v>27</v>
      </c>
      <c r="F13" s="13" t="s">
        <v>124</v>
      </c>
      <c r="G13" s="16" t="s">
        <v>125</v>
      </c>
      <c r="H13" s="16" t="s">
        <v>138</v>
      </c>
      <c r="I13" s="16" t="s">
        <v>84</v>
      </c>
      <c r="J13" s="13" t="s">
        <v>31</v>
      </c>
      <c r="K13" s="18">
        <v>0.35</v>
      </c>
      <c r="L13" s="13" t="s">
        <v>157</v>
      </c>
    </row>
    <row r="14" spans="1:12">
      <c r="A14" s="16"/>
      <c r="B14" s="16"/>
      <c r="C14" s="16"/>
      <c r="D14" s="16"/>
      <c r="E14" s="16"/>
      <c r="F14" s="16"/>
      <c r="G14" s="16"/>
      <c r="H14" s="16"/>
      <c r="I14" s="16"/>
      <c r="J14" s="16"/>
      <c r="K14" s="16"/>
      <c r="L14" s="16"/>
    </row>
    <row r="15" spans="1:12">
      <c r="A15" s="16"/>
      <c r="B15" s="16"/>
      <c r="C15" s="16"/>
      <c r="D15" s="16"/>
      <c r="E15" s="16"/>
      <c r="F15" s="16"/>
      <c r="G15" s="16"/>
      <c r="H15" s="16"/>
      <c r="I15" s="16"/>
      <c r="J15" s="16"/>
      <c r="K15" s="16"/>
      <c r="L15" s="16"/>
    </row>
    <row r="16" spans="1:12">
      <c r="A16" s="16"/>
      <c r="B16" s="16"/>
      <c r="C16" s="16"/>
      <c r="D16" s="16"/>
      <c r="E16" s="16"/>
      <c r="F16" s="16"/>
      <c r="G16" s="16"/>
      <c r="H16" s="16"/>
      <c r="I16" s="16"/>
      <c r="J16" s="16"/>
      <c r="K16" s="16"/>
      <c r="L16" s="16"/>
    </row>
    <row r="17" spans="1:12">
      <c r="A17" s="16"/>
      <c r="B17" s="16"/>
      <c r="C17" s="16"/>
      <c r="D17" s="16"/>
      <c r="E17" s="16"/>
      <c r="F17" s="16"/>
      <c r="G17" s="16"/>
      <c r="H17" s="16"/>
      <c r="I17" s="16"/>
      <c r="J17" s="16"/>
      <c r="K17" s="16"/>
      <c r="L17" s="16"/>
    </row>
    <row r="18" spans="1:12">
      <c r="A18" s="16"/>
      <c r="B18" s="16"/>
      <c r="C18" s="16"/>
      <c r="D18" s="16"/>
      <c r="E18" s="16"/>
      <c r="F18" s="16"/>
      <c r="G18" s="16"/>
      <c r="H18" s="16"/>
      <c r="I18" s="16"/>
      <c r="J18" s="16"/>
      <c r="K18" s="16"/>
      <c r="L18" s="16"/>
    </row>
    <row r="19" spans="1:12">
      <c r="A19" s="16"/>
      <c r="B19" s="16"/>
      <c r="C19" s="16"/>
      <c r="D19" s="16"/>
      <c r="E19" s="16"/>
      <c r="F19" s="16"/>
      <c r="G19" s="16"/>
      <c r="H19" s="16"/>
      <c r="I19" s="16"/>
      <c r="J19" s="16"/>
      <c r="K19" s="16"/>
      <c r="L19" s="16"/>
    </row>
  </sheetData>
  <autoFilter ref="A1:L1" xr:uid="{963F0ED6-F337-4A49-B506-B2A668D7BB83}"/>
  <conditionalFormatting sqref="H2:H13">
    <cfRule type="containsText" dxfId="7" priority="7" operator="containsText" text="Critical">
      <formula>NOT(ISERROR(SEARCH("Critical",H2)))</formula>
    </cfRule>
  </conditionalFormatting>
  <conditionalFormatting sqref="H2:H13">
    <cfRule type="containsText" dxfId="6" priority="5" operator="containsText" text="High">
      <formula>NOT(ISERROR(SEARCH("High",H2)))</formula>
    </cfRule>
  </conditionalFormatting>
  <conditionalFormatting sqref="H2:H13">
    <cfRule type="containsText" dxfId="5" priority="4" operator="containsText" text="Medium">
      <formula>NOT(ISERROR(SEARCH("Medium",H2)))</formula>
    </cfRule>
  </conditionalFormatting>
  <conditionalFormatting sqref="H2:H13">
    <cfRule type="containsText" dxfId="4" priority="3" operator="containsText" text="Low">
      <formula>NOT(ISERROR(SEARCH("Low",H2)))</formula>
    </cfRule>
  </conditionalFormatting>
  <conditionalFormatting sqref="K2:K13">
    <cfRule type="dataBar" priority="2">
      <dataBar>
        <cfvo type="min"/>
        <cfvo type="max"/>
        <color rgb="FFFFB628"/>
      </dataBar>
      <extLst>
        <ext xmlns:x14="http://schemas.microsoft.com/office/spreadsheetml/2009/9/main" uri="{B025F937-C7B1-47D3-B67F-A62EFF666E3E}">
          <x14:id>{0BA69B74-A9D5-4E98-BB83-140D639E645C}</x14:id>
        </ext>
      </extLst>
    </cfRule>
  </conditionalFormatting>
  <conditionalFormatting sqref="K2:K13">
    <cfRule type="dataBar" priority="1">
      <dataBar>
        <cfvo type="min"/>
        <cfvo type="max"/>
        <color rgb="FF63C384"/>
      </dataBar>
      <extLst>
        <ext xmlns:x14="http://schemas.microsoft.com/office/spreadsheetml/2009/9/main" uri="{B025F937-C7B1-47D3-B67F-A62EFF666E3E}">
          <x14:id>{5226BBAC-3374-4B97-A46E-3270BA4C9CA2}</x14:id>
        </ext>
      </extLst>
    </cfRule>
  </conditionalFormatting>
  <dataValidations count="2">
    <dataValidation type="list" allowBlank="1" showInputMessage="1" showErrorMessage="1" sqref="H2:H13" xr:uid="{F94A4A24-C577-4FEF-85AE-5A77462863BD}">
      <formula1>"Critical,High,Medium,Low"</formula1>
    </dataValidation>
    <dataValidation type="list" allowBlank="1" showInputMessage="1" showErrorMessage="1" sqref="J2:J13" xr:uid="{8FD3CEA1-D0E9-46A5-AC73-BC93CAC442FC}">
      <formula1>"Not Started,In Progress,Monitoring,Completed,On Hold"</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BA69B74-A9D5-4E98-BB83-140D639E645C}">
            <x14:dataBar minLength="0" maxLength="100" border="1" negativeBarBorderColorSameAsPositive="0">
              <x14:cfvo type="autoMin"/>
              <x14:cfvo type="autoMax"/>
              <x14:borderColor rgb="FFFFB628"/>
              <x14:negativeFillColor rgb="FFFF0000"/>
              <x14:negativeBorderColor rgb="FFFF0000"/>
              <x14:axisColor rgb="FF000000"/>
            </x14:dataBar>
          </x14:cfRule>
          <xm:sqref>K2:K13</xm:sqref>
        </x14:conditionalFormatting>
        <x14:conditionalFormatting xmlns:xm="http://schemas.microsoft.com/office/excel/2006/main">
          <x14:cfRule type="dataBar" id="{5226BBAC-3374-4B97-A46E-3270BA4C9CA2}">
            <x14:dataBar minLength="0" maxLength="100" border="1" negativeBarBorderColorSameAsPositive="0">
              <x14:cfvo type="autoMin"/>
              <x14:cfvo type="autoMax"/>
              <x14:borderColor rgb="FF63C384"/>
              <x14:negativeFillColor rgb="FFFF0000"/>
              <x14:negativeBorderColor rgb="FFFF0000"/>
              <x14:axisColor rgb="FF000000"/>
            </x14:dataBar>
          </x14:cfRule>
          <xm:sqref>K2:K13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F5BC-FC32-4848-9D8D-38157C56B7D6}">
  <dimension ref="A1:F17"/>
  <sheetViews>
    <sheetView workbookViewId="0">
      <selection activeCell="I8" sqref="I8"/>
    </sheetView>
  </sheetViews>
  <sheetFormatPr defaultRowHeight="15"/>
  <cols>
    <col min="1" max="1" width="18.42578125" customWidth="1"/>
    <col min="2" max="2" width="18.5703125" customWidth="1"/>
    <col min="3" max="3" width="18.140625" customWidth="1"/>
    <col min="4" max="4" width="14.85546875" customWidth="1"/>
    <col min="5" max="5" width="16.7109375" customWidth="1"/>
    <col min="6" max="6" width="17" customWidth="1"/>
  </cols>
  <sheetData>
    <row r="1" spans="1:6" s="7" customFormat="1" ht="51.75" customHeight="1">
      <c r="A1" s="35" t="s">
        <v>158</v>
      </c>
      <c r="B1" s="35"/>
      <c r="C1" s="35"/>
      <c r="D1" s="35"/>
      <c r="E1" s="35"/>
      <c r="F1" s="35"/>
    </row>
    <row r="3" spans="1:6" ht="45.75" customHeight="1">
      <c r="A3" s="2" t="s">
        <v>159</v>
      </c>
      <c r="B3" s="6">
        <v>1</v>
      </c>
      <c r="C3" s="6">
        <v>2</v>
      </c>
      <c r="D3" s="6">
        <v>3</v>
      </c>
      <c r="E3" s="6">
        <v>4</v>
      </c>
      <c r="F3" s="3">
        <v>5</v>
      </c>
    </row>
    <row r="4" spans="1:6" ht="45" customHeight="1">
      <c r="A4" s="2" t="s">
        <v>160</v>
      </c>
      <c r="B4" s="3">
        <v>5</v>
      </c>
      <c r="C4" s="5">
        <v>10</v>
      </c>
      <c r="D4" s="5">
        <v>15</v>
      </c>
      <c r="E4" s="4">
        <v>20</v>
      </c>
      <c r="F4" s="4">
        <v>25</v>
      </c>
    </row>
    <row r="5" spans="1:6" ht="44.25" customHeight="1">
      <c r="A5" s="2" t="s">
        <v>161</v>
      </c>
      <c r="B5" s="6">
        <v>4</v>
      </c>
      <c r="C5" s="3">
        <v>8</v>
      </c>
      <c r="D5" s="5">
        <v>12</v>
      </c>
      <c r="E5" s="5">
        <v>16</v>
      </c>
      <c r="F5" s="4">
        <v>20</v>
      </c>
    </row>
    <row r="6" spans="1:6" ht="45" customHeight="1">
      <c r="A6" s="2" t="s">
        <v>162</v>
      </c>
      <c r="B6" s="6">
        <v>3</v>
      </c>
      <c r="C6" s="3">
        <v>6</v>
      </c>
      <c r="D6" s="3">
        <v>9</v>
      </c>
      <c r="E6" s="5">
        <v>12</v>
      </c>
      <c r="F6" s="5">
        <v>15</v>
      </c>
    </row>
    <row r="7" spans="1:6" ht="46.5" customHeight="1">
      <c r="A7" s="2" t="s">
        <v>163</v>
      </c>
      <c r="B7" s="6">
        <v>2</v>
      </c>
      <c r="C7" s="6">
        <v>4</v>
      </c>
      <c r="D7" s="3">
        <v>6</v>
      </c>
      <c r="E7" s="3">
        <v>8</v>
      </c>
      <c r="F7" s="5">
        <v>10</v>
      </c>
    </row>
    <row r="8" spans="1:6" ht="45.75" customHeight="1">
      <c r="A8" s="2" t="s">
        <v>164</v>
      </c>
      <c r="B8" s="6">
        <v>1</v>
      </c>
      <c r="C8" s="6">
        <v>2</v>
      </c>
      <c r="D8" s="6">
        <v>3</v>
      </c>
      <c r="E8" s="6">
        <v>4</v>
      </c>
      <c r="F8" s="3">
        <v>5</v>
      </c>
    </row>
    <row r="11" spans="1:6">
      <c r="A11" s="1" t="s">
        <v>165</v>
      </c>
      <c r="B11" s="1" t="s">
        <v>166</v>
      </c>
    </row>
    <row r="12" spans="1:6">
      <c r="A12" t="s">
        <v>167</v>
      </c>
      <c r="B12" t="s">
        <v>168</v>
      </c>
    </row>
    <row r="13" spans="1:6">
      <c r="A13" t="s">
        <v>138</v>
      </c>
      <c r="B13" t="s">
        <v>169</v>
      </c>
    </row>
    <row r="14" spans="1:6">
      <c r="A14" t="s">
        <v>132</v>
      </c>
      <c r="B14" t="s">
        <v>170</v>
      </c>
    </row>
    <row r="15" spans="1:6">
      <c r="A15" t="s">
        <v>135</v>
      </c>
      <c r="B15" t="s">
        <v>171</v>
      </c>
    </row>
    <row r="17" spans="1:2">
      <c r="A17" s="34" t="s">
        <v>172</v>
      </c>
      <c r="B17" s="34"/>
    </row>
  </sheetData>
  <mergeCells count="2">
    <mergeCell ref="A1:F1"/>
    <mergeCell ref="A17:B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3"/>
  <sheetViews>
    <sheetView showGridLines="0" tabSelected="1" topLeftCell="A36" workbookViewId="0">
      <selection activeCell="I46" sqref="I46"/>
    </sheetView>
  </sheetViews>
  <sheetFormatPr defaultRowHeight="15"/>
  <cols>
    <col min="1" max="1" width="27.42578125" customWidth="1"/>
    <col min="2" max="2" width="2.85546875" customWidth="1"/>
    <col min="3" max="3" width="27.7109375" customWidth="1"/>
    <col min="4" max="4" width="2" customWidth="1"/>
    <col min="5" max="5" width="25.7109375" customWidth="1"/>
    <col min="6" max="6" width="1.5703125" customWidth="1"/>
    <col min="7" max="7" width="24.5703125" customWidth="1"/>
    <col min="8" max="8" width="2" customWidth="1"/>
    <col min="9" max="9" width="25.5703125" customWidth="1"/>
    <col min="10" max="10" width="12.140625" customWidth="1"/>
  </cols>
  <sheetData>
    <row r="1" spans="1:21" ht="49.5" customHeight="1">
      <c r="A1" s="32" t="s">
        <v>173</v>
      </c>
      <c r="B1" s="32"/>
      <c r="C1" s="32"/>
      <c r="D1" s="32"/>
      <c r="E1" s="32"/>
      <c r="F1" s="32"/>
      <c r="G1" s="32"/>
      <c r="H1" s="32"/>
      <c r="I1" s="32"/>
      <c r="J1" s="32"/>
    </row>
    <row r="2" spans="1:21" ht="33" customHeight="1">
      <c r="A2" s="29" t="s">
        <v>174</v>
      </c>
      <c r="B2" s="29"/>
      <c r="C2" s="29"/>
      <c r="D2" s="29"/>
      <c r="E2" s="29"/>
      <c r="F2" s="29"/>
      <c r="G2" s="29"/>
      <c r="H2" s="29"/>
      <c r="I2" s="29"/>
      <c r="J2" s="29"/>
      <c r="N2" s="1" t="s">
        <v>165</v>
      </c>
      <c r="O2" s="1" t="s">
        <v>175</v>
      </c>
      <c r="P2" s="1" t="s">
        <v>176</v>
      </c>
    </row>
    <row r="3" spans="1:21">
      <c r="N3" t="s">
        <v>135</v>
      </c>
      <c r="O3">
        <f>COUNTIF('Risk assessment'!I2:I13,"Critical")</f>
        <v>6</v>
      </c>
      <c r="P3">
        <f>COUNTIF('Risk assessment'!O2:O13,"Critical")</f>
        <v>0</v>
      </c>
    </row>
    <row r="4" spans="1:21" s="10" customFormat="1" ht="16.5" customHeight="1">
      <c r="N4" t="s">
        <v>132</v>
      </c>
      <c r="O4">
        <f>COUNTIF('Risk assessment'!I2:I13,"High")</f>
        <v>6</v>
      </c>
      <c r="P4">
        <f>COUNTIF('Risk assessment'!O2:O13,"High")</f>
        <v>9</v>
      </c>
    </row>
    <row r="5" spans="1:21" s="11" customFormat="1" ht="35.25" customHeight="1">
      <c r="A5" s="19">
        <f>COUNTIF('Risk assessment'!A2:A100,"R???")</f>
        <v>12</v>
      </c>
      <c r="B5" s="19"/>
      <c r="C5" s="19">
        <f>COUNTIF('Risk assessment'!I2:I100,"Critical")</f>
        <v>6</v>
      </c>
      <c r="D5" s="19"/>
      <c r="E5" s="19">
        <f>COUNTIF('Risk assessment'!O2:O100,"High")</f>
        <v>9</v>
      </c>
      <c r="F5" s="19"/>
      <c r="G5" s="19">
        <f>COUNTIF('Risk assessment'!O2:O100,"Critical")</f>
        <v>0</v>
      </c>
      <c r="H5" s="19"/>
      <c r="I5" s="19">
        <f>ROUND(AVERAGE('Risk assessment'!N2:N13),1)</f>
        <v>11.4</v>
      </c>
      <c r="J5" s="12"/>
      <c r="N5" t="s">
        <v>138</v>
      </c>
      <c r="O5">
        <f>COUNTIF('Risk assessment'!I2:I13,"Medium")</f>
        <v>0</v>
      </c>
      <c r="P5">
        <f>COUNTIF('Risk assessment'!O2:O13,"Medium")</f>
        <v>3</v>
      </c>
      <c r="S5" s="1"/>
      <c r="T5" s="1"/>
      <c r="U5" s="10"/>
    </row>
    <row r="6" spans="1:21" ht="26.25">
      <c r="A6" s="20" t="s">
        <v>177</v>
      </c>
      <c r="C6" s="20" t="s">
        <v>178</v>
      </c>
      <c r="E6" s="20" t="s">
        <v>179</v>
      </c>
      <c r="G6" s="20" t="s">
        <v>180</v>
      </c>
      <c r="I6" s="20" t="s">
        <v>181</v>
      </c>
      <c r="N6" t="s">
        <v>167</v>
      </c>
      <c r="O6">
        <f>COUNTIF('Risk assessment'!I2:I13,"Low")</f>
        <v>0</v>
      </c>
      <c r="P6">
        <f>COUNTIF('Risk assessment'!O2:O13,"Low")</f>
        <v>0</v>
      </c>
      <c r="S6" s="23"/>
      <c r="T6" s="8"/>
      <c r="U6" s="12"/>
    </row>
    <row r="7" spans="1:21">
      <c r="S7" s="9"/>
      <c r="T7" s="1"/>
    </row>
    <row r="9" spans="1:21" ht="27" customHeight="1">
      <c r="A9" s="29" t="s">
        <v>182</v>
      </c>
      <c r="B9" s="29"/>
      <c r="C9" s="29"/>
      <c r="D9" s="29"/>
      <c r="E9" s="29"/>
      <c r="F9" s="29"/>
      <c r="G9" s="29"/>
      <c r="H9" s="29"/>
      <c r="I9" s="29"/>
      <c r="J9" s="29"/>
    </row>
    <row r="10" spans="1:21" ht="15" customHeight="1">
      <c r="A10" s="33" t="s">
        <v>183</v>
      </c>
      <c r="B10" s="30"/>
      <c r="C10" s="30"/>
      <c r="D10" s="30"/>
      <c r="E10" s="30"/>
      <c r="F10" s="30"/>
      <c r="G10" s="30"/>
      <c r="H10" s="30"/>
      <c r="I10" s="30"/>
      <c r="J10" s="30"/>
    </row>
    <row r="11" spans="1:21">
      <c r="A11" s="30"/>
      <c r="B11" s="30"/>
      <c r="C11" s="30"/>
      <c r="D11" s="30"/>
      <c r="E11" s="30"/>
      <c r="F11" s="30"/>
      <c r="G11" s="30"/>
      <c r="H11" s="30"/>
      <c r="I11" s="30"/>
      <c r="J11" s="30"/>
    </row>
    <row r="12" spans="1:21">
      <c r="A12" s="30"/>
      <c r="B12" s="30"/>
      <c r="C12" s="30"/>
      <c r="D12" s="30"/>
      <c r="E12" s="30"/>
      <c r="F12" s="30"/>
      <c r="G12" s="30"/>
      <c r="H12" s="30"/>
      <c r="I12" s="30"/>
      <c r="J12" s="30"/>
    </row>
    <row r="13" spans="1:21">
      <c r="A13" s="30"/>
      <c r="B13" s="30"/>
      <c r="C13" s="30"/>
      <c r="D13" s="30"/>
      <c r="E13" s="30"/>
      <c r="F13" s="30"/>
      <c r="G13" s="30"/>
      <c r="H13" s="30"/>
      <c r="I13" s="30"/>
      <c r="J13" s="30"/>
    </row>
    <row r="14" spans="1:21">
      <c r="A14" s="30"/>
      <c r="B14" s="30"/>
      <c r="C14" s="30"/>
      <c r="D14" s="30"/>
      <c r="E14" s="30"/>
      <c r="F14" s="30"/>
      <c r="G14" s="30"/>
      <c r="H14" s="30"/>
      <c r="I14" s="30"/>
      <c r="J14" s="30"/>
    </row>
    <row r="15" spans="1:21">
      <c r="A15" s="30"/>
      <c r="B15" s="30"/>
      <c r="C15" s="30"/>
      <c r="D15" s="30"/>
      <c r="E15" s="30"/>
      <c r="F15" s="30"/>
      <c r="G15" s="30"/>
      <c r="H15" s="30"/>
      <c r="I15" s="30"/>
      <c r="J15" s="30"/>
    </row>
    <row r="16" spans="1:21">
      <c r="A16" s="30"/>
      <c r="B16" s="30"/>
      <c r="C16" s="30"/>
      <c r="D16" s="30"/>
      <c r="E16" s="30"/>
      <c r="F16" s="30"/>
      <c r="G16" s="30"/>
      <c r="H16" s="30"/>
      <c r="I16" s="30"/>
      <c r="J16" s="30"/>
    </row>
    <row r="17" spans="1:10">
      <c r="A17" s="30"/>
      <c r="B17" s="30"/>
      <c r="C17" s="30"/>
      <c r="D17" s="30"/>
      <c r="E17" s="30"/>
      <c r="F17" s="30"/>
      <c r="G17" s="30"/>
      <c r="H17" s="30"/>
      <c r="I17" s="30"/>
      <c r="J17" s="30"/>
    </row>
    <row r="18" spans="1:10">
      <c r="A18" s="30"/>
      <c r="B18" s="30"/>
      <c r="C18" s="30"/>
      <c r="D18" s="30"/>
      <c r="E18" s="30"/>
      <c r="F18" s="30"/>
      <c r="G18" s="30"/>
      <c r="H18" s="30"/>
      <c r="I18" s="30"/>
      <c r="J18" s="30"/>
    </row>
    <row r="19" spans="1:10">
      <c r="A19" s="30"/>
      <c r="B19" s="30"/>
      <c r="C19" s="30"/>
      <c r="D19" s="30"/>
      <c r="E19" s="30"/>
      <c r="F19" s="30"/>
      <c r="G19" s="30"/>
      <c r="H19" s="30"/>
      <c r="I19" s="30"/>
      <c r="J19" s="30"/>
    </row>
    <row r="20" spans="1:10">
      <c r="A20" s="30"/>
      <c r="B20" s="30"/>
      <c r="C20" s="30"/>
      <c r="D20" s="30"/>
      <c r="E20" s="30"/>
      <c r="F20" s="30"/>
      <c r="G20" s="30"/>
      <c r="H20" s="30"/>
      <c r="I20" s="30"/>
      <c r="J20" s="30"/>
    </row>
    <row r="23" spans="1:10" s="2" customFormat="1" ht="28.5" customHeight="1">
      <c r="A23" s="29" t="s">
        <v>184</v>
      </c>
      <c r="B23" s="29"/>
      <c r="C23" s="29"/>
      <c r="D23" s="29"/>
      <c r="E23" s="29"/>
      <c r="F23" s="29"/>
      <c r="G23" s="29"/>
      <c r="H23" s="29"/>
      <c r="I23" s="29"/>
    </row>
    <row r="24" spans="1:10">
      <c r="A24" s="34" t="s">
        <v>185</v>
      </c>
      <c r="B24" s="34"/>
      <c r="C24" s="34" t="s">
        <v>186</v>
      </c>
      <c r="D24" s="34"/>
      <c r="E24" s="34"/>
      <c r="F24" s="34"/>
      <c r="G24" s="24" t="s">
        <v>187</v>
      </c>
      <c r="H24" s="34" t="s">
        <v>128</v>
      </c>
      <c r="I24" s="34"/>
    </row>
    <row r="25" spans="1:10">
      <c r="A25" s="28" t="s">
        <v>32</v>
      </c>
      <c r="B25" s="28"/>
      <c r="C25" s="30" t="s">
        <v>33</v>
      </c>
      <c r="D25" s="30"/>
      <c r="E25" s="30"/>
      <c r="F25" s="30"/>
      <c r="G25" s="25">
        <v>15</v>
      </c>
      <c r="H25" s="28" t="s">
        <v>135</v>
      </c>
      <c r="I25" s="28"/>
    </row>
    <row r="26" spans="1:10" ht="16.5" customHeight="1">
      <c r="A26" s="28" t="s">
        <v>52</v>
      </c>
      <c r="B26" s="28"/>
      <c r="C26" s="30" t="s">
        <v>53</v>
      </c>
      <c r="D26" s="30"/>
      <c r="E26" s="30"/>
      <c r="F26" s="30"/>
      <c r="G26" s="25">
        <v>15</v>
      </c>
      <c r="H26" s="28" t="s">
        <v>135</v>
      </c>
      <c r="I26" s="28"/>
    </row>
    <row r="27" spans="1:10">
      <c r="A27" s="28" t="s">
        <v>68</v>
      </c>
      <c r="B27" s="28"/>
      <c r="C27" s="30" t="s">
        <v>69</v>
      </c>
      <c r="D27" s="30"/>
      <c r="E27" s="30"/>
      <c r="F27" s="30"/>
      <c r="G27" s="25">
        <v>15</v>
      </c>
      <c r="H27" s="28" t="s">
        <v>135</v>
      </c>
      <c r="I27" s="28"/>
    </row>
    <row r="28" spans="1:10">
      <c r="A28" s="28" t="s">
        <v>20</v>
      </c>
      <c r="B28" s="28"/>
      <c r="C28" s="30" t="s">
        <v>21</v>
      </c>
      <c r="D28" s="30"/>
      <c r="E28" s="30"/>
      <c r="F28" s="30"/>
      <c r="G28" s="25">
        <v>12</v>
      </c>
      <c r="H28" s="28" t="s">
        <v>132</v>
      </c>
      <c r="I28" s="28"/>
    </row>
    <row r="29" spans="1:10" ht="17.25" customHeight="1">
      <c r="A29" s="28" t="s">
        <v>59</v>
      </c>
      <c r="B29" s="28"/>
      <c r="C29" s="31" t="s">
        <v>188</v>
      </c>
      <c r="D29" s="31"/>
      <c r="E29" s="31"/>
      <c r="F29" s="31"/>
      <c r="G29" s="25">
        <v>12</v>
      </c>
      <c r="H29" s="28" t="s">
        <v>132</v>
      </c>
      <c r="I29" s="28"/>
    </row>
    <row r="30" spans="1:10">
      <c r="A30" s="28" t="s">
        <v>76</v>
      </c>
      <c r="B30" s="28"/>
      <c r="C30" s="30" t="s">
        <v>77</v>
      </c>
      <c r="D30" s="30"/>
      <c r="E30" s="30"/>
      <c r="F30" s="30"/>
      <c r="G30" s="25">
        <v>12</v>
      </c>
      <c r="H30" s="28" t="s">
        <v>132</v>
      </c>
      <c r="I30" s="28"/>
    </row>
    <row r="31" spans="1:10">
      <c r="A31" s="28" t="s">
        <v>85</v>
      </c>
      <c r="B31" s="28"/>
      <c r="C31" s="30" t="s">
        <v>86</v>
      </c>
      <c r="D31" s="30"/>
      <c r="E31" s="30"/>
      <c r="F31" s="30"/>
      <c r="G31" s="25">
        <v>12</v>
      </c>
      <c r="H31" s="28" t="s">
        <v>132</v>
      </c>
      <c r="I31" s="28"/>
    </row>
    <row r="32" spans="1:10">
      <c r="A32" s="28" t="s">
        <v>101</v>
      </c>
      <c r="B32" s="28"/>
      <c r="C32" s="31" t="s">
        <v>189</v>
      </c>
      <c r="D32" s="31"/>
      <c r="E32" s="31"/>
      <c r="F32" s="31"/>
      <c r="G32" s="25">
        <v>12</v>
      </c>
      <c r="H32" s="28" t="s">
        <v>132</v>
      </c>
      <c r="I32" s="28"/>
    </row>
    <row r="35" spans="1:11" s="22" customFormat="1" ht="24" customHeight="1">
      <c r="A35" s="21" t="s">
        <v>190</v>
      </c>
    </row>
    <row r="36" spans="1:11" ht="15.75">
      <c r="A36" s="26" t="s">
        <v>191</v>
      </c>
      <c r="B36" s="26"/>
      <c r="C36" s="26"/>
      <c r="D36" s="26"/>
      <c r="E36" s="26"/>
      <c r="F36" s="26"/>
      <c r="G36" s="26"/>
      <c r="H36" s="26"/>
      <c r="I36" s="26"/>
      <c r="J36" s="26"/>
      <c r="K36" s="14"/>
    </row>
    <row r="37" spans="1:11" ht="15.75">
      <c r="A37" s="27" t="s">
        <v>192</v>
      </c>
      <c r="B37" s="27"/>
      <c r="C37" s="27"/>
      <c r="D37" s="27"/>
      <c r="E37" s="27"/>
      <c r="F37" s="27"/>
      <c r="G37" s="27"/>
      <c r="H37" s="27"/>
      <c r="I37" s="27"/>
      <c r="J37" s="27"/>
      <c r="K37" s="14"/>
    </row>
    <row r="38" spans="1:11" ht="15.75">
      <c r="A38" s="27" t="s">
        <v>193</v>
      </c>
      <c r="B38" s="27"/>
      <c r="C38" s="27"/>
      <c r="D38" s="27"/>
      <c r="E38" s="27"/>
      <c r="F38" s="27"/>
      <c r="G38" s="27"/>
      <c r="H38" s="27"/>
      <c r="I38" s="27"/>
      <c r="J38" s="27"/>
      <c r="K38" s="14"/>
    </row>
    <row r="39" spans="1:11" ht="15.75">
      <c r="A39" s="27" t="s">
        <v>194</v>
      </c>
      <c r="B39" s="27"/>
      <c r="C39" s="27"/>
      <c r="D39" s="27"/>
      <c r="E39" s="27"/>
      <c r="F39" s="27"/>
      <c r="G39" s="27"/>
      <c r="H39" s="27"/>
      <c r="I39" s="27"/>
      <c r="J39" s="27"/>
      <c r="K39" s="14"/>
    </row>
    <row r="40" spans="1:11" ht="15.75">
      <c r="A40" s="27" t="s">
        <v>195</v>
      </c>
      <c r="B40" s="27"/>
      <c r="C40" s="27"/>
      <c r="D40" s="27"/>
      <c r="E40" s="27"/>
      <c r="F40" s="27"/>
      <c r="G40" s="27"/>
      <c r="H40" s="27"/>
      <c r="I40" s="27"/>
      <c r="J40" s="27"/>
      <c r="K40" s="27"/>
    </row>
    <row r="41" spans="1:11">
      <c r="A41" s="14"/>
      <c r="B41" s="14"/>
      <c r="C41" s="14"/>
      <c r="D41" s="14"/>
      <c r="E41" s="14"/>
      <c r="F41" s="14"/>
      <c r="G41" s="14"/>
      <c r="H41" s="14"/>
      <c r="I41" s="14"/>
      <c r="J41" s="14"/>
      <c r="K41" s="14"/>
    </row>
    <row r="42" spans="1:11">
      <c r="A42" s="14"/>
      <c r="B42" s="14"/>
      <c r="C42" s="14"/>
      <c r="D42" s="14"/>
      <c r="E42" s="14"/>
      <c r="F42" s="14"/>
      <c r="G42" s="14"/>
      <c r="H42" s="14"/>
      <c r="I42" s="14"/>
      <c r="J42" s="14"/>
      <c r="K42" s="14"/>
    </row>
    <row r="43" spans="1:11">
      <c r="A43" s="14"/>
      <c r="B43" s="14"/>
      <c r="C43" s="14"/>
      <c r="D43" s="14"/>
      <c r="E43" s="14"/>
      <c r="F43" s="14"/>
      <c r="G43" s="14"/>
      <c r="H43" s="14"/>
      <c r="I43" s="14"/>
      <c r="J43" s="14"/>
      <c r="K43" s="14"/>
    </row>
  </sheetData>
  <mergeCells count="37">
    <mergeCell ref="A1:J1"/>
    <mergeCell ref="A2:J2"/>
    <mergeCell ref="A10:J20"/>
    <mergeCell ref="A9:J9"/>
    <mergeCell ref="A24:B24"/>
    <mergeCell ref="C24:F24"/>
    <mergeCell ref="H24:I24"/>
    <mergeCell ref="C29:F29"/>
    <mergeCell ref="A30:B30"/>
    <mergeCell ref="A31:B31"/>
    <mergeCell ref="A32:B32"/>
    <mergeCell ref="A25:B25"/>
    <mergeCell ref="A26:B26"/>
    <mergeCell ref="A27:B27"/>
    <mergeCell ref="A28:B28"/>
    <mergeCell ref="A29:B29"/>
    <mergeCell ref="H30:I30"/>
    <mergeCell ref="H31:I31"/>
    <mergeCell ref="H32:I32"/>
    <mergeCell ref="A23:I23"/>
    <mergeCell ref="H25:I25"/>
    <mergeCell ref="H26:I26"/>
    <mergeCell ref="H27:I27"/>
    <mergeCell ref="H28:I28"/>
    <mergeCell ref="H29:I29"/>
    <mergeCell ref="C30:F30"/>
    <mergeCell ref="C31:F31"/>
    <mergeCell ref="C32:F32"/>
    <mergeCell ref="C25:F25"/>
    <mergeCell ref="C26:F26"/>
    <mergeCell ref="C27:F27"/>
    <mergeCell ref="C28:F28"/>
    <mergeCell ref="A36:J36"/>
    <mergeCell ref="A37:J37"/>
    <mergeCell ref="A38:J38"/>
    <mergeCell ref="A39:J39"/>
    <mergeCell ref="A40:K40"/>
  </mergeCells>
  <conditionalFormatting sqref="H25:I32">
    <cfRule type="containsText" dxfId="3" priority="4" operator="containsText" text="Critical">
      <formula>NOT(ISERROR(SEARCH("Critical",H25)))</formula>
    </cfRule>
  </conditionalFormatting>
  <conditionalFormatting sqref="H25:I32">
    <cfRule type="containsText" dxfId="2" priority="3" operator="containsText" text="High">
      <formula>NOT(ISERROR(SEARCH("High",H25)))</formula>
    </cfRule>
  </conditionalFormatting>
  <conditionalFormatting sqref="H25:I32">
    <cfRule type="containsText" dxfId="1" priority="2" operator="containsText" text="Middle">
      <formula>NOT(ISERROR(SEARCH("Middle",H25)))</formula>
    </cfRule>
  </conditionalFormatting>
  <conditionalFormatting sqref="H25:I32">
    <cfRule type="containsText" dxfId="0" priority="1" operator="containsText" text="Low">
      <formula>NOT(ISERROR(SEARCH("Low",H25)))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2026-09-07T13:13:58Z</dcterms:created>
  <dcterms:modified xsi:type="dcterms:W3CDTF">2026-09-09T23:40:06Z</dcterms:modified>
  <cp:category/>
  <cp:contentStatus/>
</cp:coreProperties>
</file>