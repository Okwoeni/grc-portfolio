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66925"/>
  <xr:revisionPtr revIDLastSave="0" documentId="8_{9F995056-BDDD-4565-AF10-B4A21E0110B0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Risk Register" sheetId="1" r:id="rId1"/>
    <sheet name="Risk Matrix" sheetId="2" r:id="rId2"/>
    <sheet name="Dashboard" sheetId="4" r:id="rId3"/>
    <sheet name="Risk Methodology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7" i="4" l="1"/>
  <c r="X6" i="4"/>
  <c r="AB9" i="4"/>
  <c r="X14" i="4"/>
  <c r="X15" i="4"/>
  <c r="X16" i="4"/>
  <c r="X17" i="4"/>
  <c r="X18" i="4"/>
  <c r="X19" i="4"/>
  <c r="X20" i="4"/>
  <c r="X21" i="4"/>
  <c r="X22" i="4"/>
  <c r="X23" i="4"/>
  <c r="X24" i="4"/>
  <c r="X13" i="4"/>
  <c r="AB7" i="4"/>
  <c r="AB8" i="4"/>
  <c r="AB6" i="4"/>
  <c r="A5" i="4"/>
  <c r="M5" i="4"/>
  <c r="O22" i="1"/>
  <c r="P22" i="1" s="1"/>
  <c r="O21" i="1"/>
  <c r="P21" i="1" s="1"/>
  <c r="O20" i="1"/>
  <c r="P20" i="1" s="1"/>
  <c r="O19" i="1"/>
  <c r="P19" i="1" s="1"/>
  <c r="O18" i="1"/>
  <c r="P18" i="1" s="1"/>
  <c r="O17" i="1"/>
  <c r="P17" i="1" s="1"/>
  <c r="O16" i="1"/>
  <c r="P16" i="1" s="1"/>
  <c r="O15" i="1"/>
  <c r="P15" i="1" s="1"/>
  <c r="O14" i="1"/>
  <c r="P14" i="1" s="1"/>
  <c r="O13" i="1"/>
  <c r="P13" i="1" s="1"/>
  <c r="O12" i="1"/>
  <c r="P12" i="1" s="1"/>
  <c r="O11" i="1"/>
  <c r="P11" i="1" s="1"/>
  <c r="O10" i="1"/>
  <c r="P10" i="1" s="1"/>
  <c r="O9" i="1"/>
  <c r="P9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O8" i="1"/>
  <c r="P8" i="1" l="1"/>
  <c r="Q5" i="4"/>
  <c r="X7" i="4"/>
  <c r="X8" i="4"/>
  <c r="X9" i="4"/>
  <c r="I5" i="4" l="1"/>
  <c r="Y8" i="4"/>
  <c r="Y9" i="4"/>
  <c r="Y6" i="4"/>
  <c r="E5" i="4"/>
</calcChain>
</file>

<file path=xl/sharedStrings.xml><?xml version="1.0" encoding="utf-8"?>
<sst xmlns="http://schemas.openxmlformats.org/spreadsheetml/2006/main" count="351" uniqueCount="255">
  <si>
    <t>APEX FINTECH SOLUTIONS LTD</t>
  </si>
  <si>
    <t>Enterprise Risk Register</t>
  </si>
  <si>
    <r>
      <rPr>
        <b/>
        <sz val="14"/>
        <color rgb="FF000000"/>
        <rFont val="Calibri"/>
        <scheme val="minor"/>
      </rPr>
      <t>Owner:</t>
    </r>
    <r>
      <rPr>
        <sz val="14"/>
        <color rgb="FF000000"/>
        <rFont val="Calibri"/>
        <scheme val="minor"/>
      </rPr>
      <t xml:space="preserve"> GRC &amp; Information Security</t>
    </r>
  </si>
  <si>
    <r>
      <rPr>
        <b/>
        <sz val="14"/>
        <color rgb="FF000000"/>
        <rFont val="Calibri"/>
        <scheme val="minor"/>
      </rPr>
      <t>Version:</t>
    </r>
    <r>
      <rPr>
        <sz val="14"/>
        <color rgb="FF000000"/>
        <rFont val="Calibri"/>
        <scheme val="minor"/>
      </rPr>
      <t xml:space="preserve"> 1.0 | Review Date: 18/08/2026</t>
    </r>
  </si>
  <si>
    <t>Risk ID</t>
  </si>
  <si>
    <t>Risk Category</t>
  </si>
  <si>
    <t>Risk Statement</t>
  </si>
  <si>
    <t>Asset / Process</t>
  </si>
  <si>
    <t>Threat</t>
  </si>
  <si>
    <t>Vulnerability</t>
  </si>
  <si>
    <t>Likelihood</t>
  </si>
  <si>
    <t>Impact</t>
  </si>
  <si>
    <t>Inherent Score</t>
  </si>
  <si>
    <t>Inherent Rating</t>
  </si>
  <si>
    <t>Existing Controls</t>
  </si>
  <si>
    <t>Control Effectiveness</t>
  </si>
  <si>
    <t>Residual Likelihood</t>
  </si>
  <si>
    <t>Residual Impact</t>
  </si>
  <si>
    <t>Residual Score</t>
  </si>
  <si>
    <t>Residual Rating</t>
  </si>
  <si>
    <t>Risk Owner</t>
  </si>
  <si>
    <t>Treatment Plan</t>
  </si>
  <si>
    <t>Target Date</t>
  </si>
  <si>
    <t>Status</t>
  </si>
  <si>
    <t>R001</t>
  </si>
  <si>
    <t>Cybersecurity</t>
  </si>
  <si>
    <t>Employees may fall victim to phishing attacks, resulting in compromised credentials and unauthorised access to corporate systems.</t>
  </si>
  <si>
    <t>Corporate email and user accounts</t>
  </si>
  <si>
    <t>Phishing / social engineering</t>
  </si>
  <si>
    <t>Employees may fail to identify sophisticated phishing attempts</t>
  </si>
  <si>
    <t>MFA; email filtering; security awareness training; quarterly phishing simulations; incident reporting</t>
  </si>
  <si>
    <t>Effective</t>
  </si>
  <si>
    <t>Head of Information Security</t>
  </si>
  <si>
    <t>Expand MFA coverage to all accounts; increase phishing awareness activities; investigate users failing simulations; strengthen email authentication controls</t>
  </si>
  <si>
    <t>30/09/2026</t>
  </si>
  <si>
    <t>In Progress</t>
  </si>
  <si>
    <t>R002</t>
  </si>
  <si>
    <t>Customer personal or financial data may be exposed through unauthorised access, resulting in regulatory, financial and reputational harm.</t>
  </si>
  <si>
    <t>Customer Data Platform</t>
  </si>
  <si>
    <t>External cyberattack</t>
  </si>
  <si>
    <t>Weaknesses in access controls or application security</t>
  </si>
  <si>
    <t>Role-based access control; MFA; encryption; security monitoring; access reviews</t>
  </si>
  <si>
    <t>Data Protection Officer</t>
  </si>
  <si>
    <t>Strengthen privileged access reviews; increase monitoring of sensitive data access; conduct periodic access recertification</t>
  </si>
  <si>
    <t>31/10/2026</t>
  </si>
  <si>
    <t>R003</t>
  </si>
  <si>
    <t>Ransomware may compromise corporate systems and disrupt critical payment and business operations.</t>
  </si>
  <si>
    <t>Corporate Network and Payment Systems</t>
  </si>
  <si>
    <t>Ransomware</t>
  </si>
  <si>
    <t>Malicious attachments, compromised credentials or unpatched systems</t>
  </si>
  <si>
    <t>Endpoint protection; backups; MFA; email filtering; vulnerability management</t>
  </si>
  <si>
    <t>Conduct ransomware recovery exercises; improve network segmentation; verify backup restoration quarterly</t>
  </si>
  <si>
    <t>R004</t>
  </si>
  <si>
    <t>Third-Party</t>
  </si>
  <si>
    <t>A critical third-party service provider may experience an outage, disrupting payment processing or other essential services.</t>
  </si>
  <si>
    <t>Payment Processing</t>
  </si>
  <si>
    <t>Third-party service failure</t>
  </si>
  <si>
    <t>Dependency on external service providers</t>
  </si>
  <si>
    <t>Supplier SLAs; business continuity requirements; service monitoring; alternative processing procedures</t>
  </si>
  <si>
    <t>Adequately Effective</t>
  </si>
  <si>
    <t>Head of Operations</t>
  </si>
  <si>
    <t>Review supplier resilience testing; establish escalation procedures; assess alternative providers</t>
  </si>
  <si>
    <t>30/11/2026</t>
  </si>
  <si>
    <t>Open</t>
  </si>
  <si>
    <t>R005</t>
  </si>
  <si>
    <t>Cloud Security</t>
  </si>
  <si>
    <t>Cloud resources may be misconfigured, exposing sensitive company or customer information to unauthorised parties.</t>
  </si>
  <si>
    <t>Microsoft Azure</t>
  </si>
  <si>
    <t>Human error</t>
  </si>
  <si>
    <t>Insecure cloud configuration or excessive permissions</t>
  </si>
  <si>
    <t>Configuration standards; RBAC; cloud security monitoring; change management</t>
  </si>
  <si>
    <t>Cloud Security Manager</t>
  </si>
  <si>
    <t>Implement automated configuration scanning; strengthen cloud change reviews; perform quarterly permission reviews</t>
  </si>
  <si>
    <t>R006</t>
  </si>
  <si>
    <t>Access Control</t>
  </si>
  <si>
    <t>Privileged access may be misused by an employee or compromised administrator account, resulting in unauthorised system changes or data access.</t>
  </si>
  <si>
    <t>Privileged Accounts</t>
  </si>
  <si>
    <t>Insider threat / account compromise</t>
  </si>
  <si>
    <t>Excessive or poorly monitored privileged access</t>
  </si>
  <si>
    <t>Privileged access management; MFA; logging; access approval; periodic access reviews</t>
  </si>
  <si>
    <t>IT Security Manager</t>
  </si>
  <si>
    <t>Increase privileged session monitoring; implement quarterly privileged access certification</t>
  </si>
  <si>
    <t>R007</t>
  </si>
  <si>
    <t>Vulnerability Management</t>
  </si>
  <si>
    <t>Critical vulnerabilities may remain unpatched and be exploited by attackers, resulting in system compromise.</t>
  </si>
  <si>
    <t>Servers and Endpoints</t>
  </si>
  <si>
    <t>External attacker</t>
  </si>
  <si>
    <t>Delayed security patching</t>
  </si>
  <si>
    <t>Patch management process; vulnerability scanning; endpoint management</t>
  </si>
  <si>
    <t>IT Operations Manager</t>
  </si>
  <si>
    <t>Define remediation SLAs by severity; introduce overdue vulnerability escalation; report patch compliance monthly</t>
  </si>
  <si>
    <t>R008</t>
  </si>
  <si>
    <t>Compliance</t>
  </si>
  <si>
    <t>Failure to meet UK GDPR requirements may result in regulatory action, financial penalties and reputational damage.</t>
  </si>
  <si>
    <t>Personal Data Processing</t>
  </si>
  <si>
    <t>Regulatory non-compliance</t>
  </si>
  <si>
    <t>Incomplete privacy governance or inconsistent data handling</t>
  </si>
  <si>
    <t>Privacy policies; staff training; DPIA process; data subject request procedure; DPO oversight</t>
  </si>
  <si>
    <t>Conduct annual GDPR compliance review; improve processing records; review high-risk processing activities</t>
  </si>
  <si>
    <t>31/12/2026</t>
  </si>
  <si>
    <t>Monitoring</t>
  </si>
  <si>
    <t>R009</t>
  </si>
  <si>
    <t>Operational</t>
  </si>
  <si>
    <t>Failure of power or supporting infrastructure may interrupt business operations and availability of critical services.</t>
  </si>
  <si>
    <t>Office and IT Infrastructure</t>
  </si>
  <si>
    <t>Power outage</t>
  </si>
  <si>
    <t>Dependence on local infrastructure</t>
  </si>
  <si>
    <t>UPS systems; cloud-hosted services; remote working capability; business continuity procedures</t>
  </si>
  <si>
    <t>Test continuity arrangements annually; confirm UPS maintenance schedule; review remote-working capacity</t>
  </si>
  <si>
    <t>R010</t>
  </si>
  <si>
    <t>Inadequate security due diligence during supplier onboarding may introduce unacceptable information security or privacy risks.</t>
  </si>
  <si>
    <t>Vendor Management</t>
  </si>
  <si>
    <t>Supplier security weakness</t>
  </si>
  <si>
    <t>Inconsistent third-party security assessment</t>
  </si>
  <si>
    <t>Vendor questionnaire; contract review; procurement approval; security requirements</t>
  </si>
  <si>
    <t>Third-Party Risk Manager</t>
  </si>
  <si>
    <t>Introduce risk-tiered supplier assessments; require evidence for critical vendors; establish annual reassessment programme</t>
  </si>
  <si>
    <t>R011</t>
  </si>
  <si>
    <t>Business Continuity</t>
  </si>
  <si>
    <t>A major technology incident may prevent critical business services from being recovered within required timeframes.</t>
  </si>
  <si>
    <t>Critical Business Services</t>
  </si>
  <si>
    <t>System failure / cyber incident</t>
  </si>
  <si>
    <t>Inadequate recovery testing or outdated recovery procedures</t>
  </si>
  <si>
    <t>Business continuity plan; disaster recovery plan; backups; annual recovery testing</t>
  </si>
  <si>
    <t>Business Continuity Manager</t>
  </si>
  <si>
    <t>Perform scenario-based recovery exercise; validate RTO and RPO requirements; update recovery documentation</t>
  </si>
  <si>
    <t>R012</t>
  </si>
  <si>
    <t>Information Security</t>
  </si>
  <si>
    <t>Sensitive information may be accidentally disclosed by employees through email, file sharing or other communication channels.</t>
  </si>
  <si>
    <t>Sensitive Corporate and Customer Information</t>
  </si>
  <si>
    <t>Inadequate handling of sensitive information</t>
  </si>
  <si>
    <t>Data classification policy; access controls; staff training; secure file sharing</t>
  </si>
  <si>
    <t>Deploy additional data loss prevention rules; reinforce data handling training; review external sharing permissions</t>
  </si>
  <si>
    <t>R013</t>
  </si>
  <si>
    <t>Physical Security</t>
  </si>
  <si>
    <t>Unauthorised individuals may gain physical access to restricted office areas and information assets.</t>
  </si>
  <si>
    <t>Office Premises</t>
  </si>
  <si>
    <t>Unauthorised physical access</t>
  </si>
  <si>
    <t>Tailgating, lost passes or weak visitor controls</t>
  </si>
  <si>
    <t>Access cards; CCTV; visitor sign-in; reception controls; restricted areas</t>
  </si>
  <si>
    <t>Facilities Manager</t>
  </si>
  <si>
    <t>Conduct access-control review; improve visitor badge monitoring; perform periodic physical security checks</t>
  </si>
  <si>
    <t>R014</t>
  </si>
  <si>
    <t>Incident Management</t>
  </si>
  <si>
    <t>Security incidents may not be detected, escalated or contained promptly, increasing operational and regulatory impact.</t>
  </si>
  <si>
    <t>Security Operations</t>
  </si>
  <si>
    <t>Undetected cyber incident</t>
  </si>
  <si>
    <t>Incomplete monitoring or ineffective escalation</t>
  </si>
  <si>
    <t>Security monitoring; incident response plan; escalation procedures; logging</t>
  </si>
  <si>
    <t>Run incident response tabletop exercise; review alert escalation thresholds; update incident contact list</t>
  </si>
  <si>
    <t>R015</t>
  </si>
  <si>
    <t>Governance</t>
  </si>
  <si>
    <t>Information security policies may become outdated or inconsistent with current business, regulatory and technology requirements.</t>
  </si>
  <si>
    <t>Information Security Management System</t>
  </si>
  <si>
    <t>Policy governance failure</t>
  </si>
  <si>
    <t>Infrequent policy review or unclear ownership</t>
  </si>
  <si>
    <t>Policy framework; assigned policy owners; annual review schedule</t>
  </si>
  <si>
    <t>GRC Manager</t>
  </si>
  <si>
    <t>Implement central policy register; track review dates and approvals; introduce overdue review reporting</t>
  </si>
  <si>
    <t>Apex FinTech Solutions Ltd — 5×5 Risk Matrix</t>
  </si>
  <si>
    <t>Likelihood ↓ / Impact →</t>
  </si>
  <si>
    <t>1 - Insignificant</t>
  </si>
  <si>
    <t>2 - Minor</t>
  </si>
  <si>
    <t>3 - Moderate</t>
  </si>
  <si>
    <t>4 - Major</t>
  </si>
  <si>
    <t>5 - Severe</t>
  </si>
  <si>
    <t>5 - Almost Certain</t>
  </si>
  <si>
    <t>5 Medium</t>
  </si>
  <si>
    <t>10 High</t>
  </si>
  <si>
    <t>15 High</t>
  </si>
  <si>
    <t>20 Critical</t>
  </si>
  <si>
    <t>25 Critical</t>
  </si>
  <si>
    <t>4 - Likely</t>
  </si>
  <si>
    <t>4 Low</t>
  </si>
  <si>
    <t>8 Medium</t>
  </si>
  <si>
    <t>12 High</t>
  </si>
  <si>
    <t>16 High</t>
  </si>
  <si>
    <t>3 - Possible</t>
  </si>
  <si>
    <t>3 Low</t>
  </si>
  <si>
    <t>6 Medium</t>
  </si>
  <si>
    <t>9 Medium</t>
  </si>
  <si>
    <t>2 - Unlikely</t>
  </si>
  <si>
    <t>2 Low</t>
  </si>
  <si>
    <t>1 - Rare</t>
  </si>
  <si>
    <t>1 Low</t>
  </si>
  <si>
    <t>Rating</t>
  </si>
  <si>
    <t>Score</t>
  </si>
  <si>
    <t>Low</t>
  </si>
  <si>
    <t>1–4</t>
  </si>
  <si>
    <t>Medium</t>
  </si>
  <si>
    <t>5–9</t>
  </si>
  <si>
    <t>High</t>
  </si>
  <si>
    <t>10–16</t>
  </si>
  <si>
    <t>Critical</t>
  </si>
  <si>
    <t>17–25</t>
  </si>
  <si>
    <t>Apex FinTech Solutions Ltd — Enterprise Risk Dashboard</t>
  </si>
  <si>
    <t>August 2026 | 15 Enterprise Risks | Inherent &amp; Residual Risk Assessment</t>
  </si>
  <si>
    <t>Total Risks</t>
  </si>
  <si>
    <t>Critical Residual Risks</t>
  </si>
  <si>
    <t>High Residual Risks</t>
  </si>
  <si>
    <t>Overdue Risks</t>
  </si>
  <si>
    <t>Avg. Residual Risk Score</t>
  </si>
  <si>
    <t>Inherent</t>
  </si>
  <si>
    <t>Residual</t>
  </si>
  <si>
    <t>Count</t>
  </si>
  <si>
    <t>Closed</t>
  </si>
  <si>
    <t>Risk Assessment Methodology</t>
  </si>
  <si>
    <t>Purpose</t>
  </si>
  <si>
    <t>Defines the methodology used to identify, assess, rate and treat information security and operational risks within Apex FinTech Solutions Ltd.</t>
  </si>
  <si>
    <t>Assessment Approach</t>
  </si>
  <si>
    <t>Risks are assessed using a 5x5 likelihood and impact model. Inherent risk is assessed before considering existing controls, while residual risk represents the remaining exposure after controls are considered.</t>
  </si>
  <si>
    <t>Risk Calculation</t>
  </si>
  <si>
    <t>Risk Score = Likelihood × Impact</t>
  </si>
  <si>
    <t>Likelihood Criteria:</t>
  </si>
  <si>
    <t>Definition</t>
  </si>
  <si>
    <t>Rare</t>
  </si>
  <si>
    <t>May occur only in exceptional circumstances</t>
  </si>
  <si>
    <t>Unlikely</t>
  </si>
  <si>
    <t>Could occur, but is not expected</t>
  </si>
  <si>
    <t>Possible</t>
  </si>
  <si>
    <t>Could occur occasionally</t>
  </si>
  <si>
    <t>Likely</t>
  </si>
  <si>
    <t>Expected to occur periodically</t>
  </si>
  <si>
    <t>Almost Certain</t>
  </si>
  <si>
    <t>Expected to occur frequently</t>
  </si>
  <si>
    <t>Impact Criteria:</t>
  </si>
  <si>
    <t>Insignificant</t>
  </si>
  <si>
    <t>Minimal impact on business operations, information or stakeholders</t>
  </si>
  <si>
    <t>Minor</t>
  </si>
  <si>
    <t>Limited impact that can be managed through normal business processes</t>
  </si>
  <si>
    <t>Moderate</t>
  </si>
  <si>
    <t>Noticeable impact requiring management attention and additional resources</t>
  </si>
  <si>
    <t>Major</t>
  </si>
  <si>
    <t>Significant impact causing substantial operational, financial, regulatory or reputational consequences</t>
  </si>
  <si>
    <t>Severe</t>
  </si>
  <si>
    <t>Critical impact potentially causing major financial loss, regulatory action, significant data compromise or prolonged disruption</t>
  </si>
  <si>
    <t>Risk Rating:</t>
  </si>
  <si>
    <t>Score Range</t>
  </si>
  <si>
    <t>Risk Rating</t>
  </si>
  <si>
    <t>Risk Treatment Principles:</t>
  </si>
  <si>
    <t>Monitor and manage through routine controls</t>
  </si>
  <si>
    <t>Consider additional controls and monitor regularly</t>
  </si>
  <si>
    <t>Management attention required; treatment plan should be developed</t>
  </si>
  <si>
    <t>Immediate management attention and prioritised risk treatment required</t>
  </si>
  <si>
    <t>Risk Treatment Options</t>
  </si>
  <si>
    <t>Treatment</t>
  </si>
  <si>
    <t>Meaning</t>
  </si>
  <si>
    <t>Avoid</t>
  </si>
  <si>
    <t>Stop or change the activity creating the risk</t>
  </si>
  <si>
    <t>Mitigate</t>
  </si>
  <si>
    <t>Implement controls to reduce likelihood and/or impact</t>
  </si>
  <si>
    <t>Transfer</t>
  </si>
  <si>
    <t>Shift some exposure to another party, e.g. insurance or contractual arrangements</t>
  </si>
  <si>
    <t>Accept</t>
  </si>
  <si>
    <t>Formally retain the risk where it falls within risk appetite or further treatment isn't justified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</si>
</sst>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0000"/>
      <name val="Calibri"/>
      <scheme val="minor"/>
    </font>
    <font>
      <sz val="14"/>
      <color rgb="FF000000"/>
      <name val="Calibri"/>
      <scheme val="minor"/>
    </font>
    <font>
      <b/>
      <sz val="20"/>
      <color rgb="FF000000"/>
      <name val="Calibri"/>
      <scheme val="minor"/>
    </font>
    <font>
      <b/>
      <sz val="14"/>
      <color rgb="FF000000"/>
      <name val="Calibri"/>
      <scheme val="minor"/>
    </font>
    <font>
      <b/>
      <sz val="20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CC0007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3D1"/>
        <bgColor indexed="64"/>
      </patternFill>
    </fill>
    <fill>
      <patternFill patternType="solid">
        <fgColor rgb="FFFFD6D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8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14" fontId="0" fillId="0" borderId="0" xfId="0" applyNumberFormat="1" applyAlignment="1">
      <alignment vertical="top" wrapText="1"/>
    </xf>
    <xf numFmtId="14" fontId="0" fillId="0" borderId="0" xfId="0" applyNumberFormat="1"/>
    <xf numFmtId="0" fontId="0" fillId="0" borderId="0" xfId="0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0" fillId="0" borderId="0" xfId="0" applyBorder="1" applyAlignment="1">
      <alignment vertical="top"/>
    </xf>
    <xf numFmtId="14" fontId="0" fillId="0" borderId="0" xfId="0" applyNumberFormat="1" applyBorder="1" applyAlignment="1">
      <alignment vertical="top"/>
    </xf>
    <xf numFmtId="0" fontId="0" fillId="0" borderId="0" xfId="0" applyFont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9" fillId="4" borderId="0" xfId="0" applyFont="1" applyFill="1" applyAlignment="1">
      <alignment vertical="center" wrapText="1"/>
    </xf>
    <xf numFmtId="0" fontId="10" fillId="5" borderId="0" xfId="0" applyFont="1" applyFill="1" applyAlignment="1">
      <alignment vertical="center" wrapText="1"/>
    </xf>
    <xf numFmtId="0" fontId="0" fillId="6" borderId="0" xfId="0" applyFont="1" applyFill="1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ont="1"/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4" fillId="0" borderId="0" xfId="0" applyFont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14" fillId="7" borderId="2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2" fillId="7" borderId="5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30">
    <dxf>
      <alignment horizontal="general" vertical="top" textRotation="0" wrapText="1" indent="0" justifyLastLine="0" shrinkToFit="0" readingOrder="0"/>
    </dxf>
    <dxf>
      <numFmt numFmtId="19" formatCode="m/d/yyyy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F5F8FF"/>
      <color rgb="FFF2F6FF"/>
      <color rgb="FFFFD6D6"/>
      <color rgb="FFFFE3D1"/>
      <color rgb="FFCC0007"/>
      <color rgb="FFFFD1D1"/>
      <color rgb="FFFFB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Inherent vs Residual Risk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Dashboard!$X$5</c:f>
              <c:strCache>
                <c:ptCount val="1"/>
                <c:pt idx="0">
                  <c:v>Inherent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Dashboard!$W$6:$W$9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Dashboard!$X$6:$X$9</c:f>
              <c:numCache>
                <c:formatCode>General</c:formatCode>
                <c:ptCount val="4"/>
                <c:pt idx="0">
                  <c:v>2</c:v>
                </c:pt>
                <c:pt idx="1">
                  <c:v>11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DD-4255-9363-75AFD4649A3E}"/>
            </c:ext>
          </c:extLst>
        </c:ser>
        <c:ser>
          <c:idx val="1"/>
          <c:order val="1"/>
          <c:tx>
            <c:strRef>
              <c:f>Dashboard!$Y$5</c:f>
              <c:strCache>
                <c:ptCount val="1"/>
                <c:pt idx="0">
                  <c:v>Residual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Dashboard!$W$6:$W$9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Dashboard!$Y$6:$Y$9</c:f>
              <c:numCache>
                <c:formatCode>General</c:formatCode>
                <c:ptCount val="4"/>
                <c:pt idx="0">
                  <c:v>0</c:v>
                </c:pt>
                <c:pt idx="1">
                  <c:v>12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DD-4255-9363-75AFD4649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2388615"/>
        <c:axId val="1938097159"/>
      </c:barChart>
      <c:catAx>
        <c:axId val="1592388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097159"/>
        <c:crosses val="autoZero"/>
        <c:auto val="1"/>
        <c:lblAlgn val="ctr"/>
        <c:lblOffset val="100"/>
        <c:noMultiLvlLbl val="0"/>
      </c:catAx>
      <c:valAx>
        <c:axId val="1938097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388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 Treatment Status</a:t>
            </a:r>
          </a:p>
        </c:rich>
      </c:tx>
      <c:layout>
        <c:manualLayout>
          <c:xMode val="edge"/>
          <c:yMode val="edge"/>
          <c:x val="0.44548191577180474"/>
          <c:y val="3.23713397729428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Dashboard!$AB$5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B8-4684-A958-AC859827BC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B8-4684-A958-AC859827BC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BB8-4684-A958-AC859827BC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BB8-4684-A958-AC859827BC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Dashboard!$AA$6:$AA$9</c:f>
              <c:strCache>
                <c:ptCount val="4"/>
                <c:pt idx="0">
                  <c:v>Open</c:v>
                </c:pt>
                <c:pt idx="1">
                  <c:v>In Progress</c:v>
                </c:pt>
                <c:pt idx="2">
                  <c:v>Monitoring</c:v>
                </c:pt>
                <c:pt idx="3">
                  <c:v>Closed</c:v>
                </c:pt>
              </c:strCache>
            </c:strRef>
          </c:cat>
          <c:val>
            <c:numRef>
              <c:f>Dashboard!$AB$6:$AB$9</c:f>
              <c:numCache>
                <c:formatCode>General</c:formatCode>
                <c:ptCount val="4"/>
                <c:pt idx="0">
                  <c:v>2</c:v>
                </c:pt>
                <c:pt idx="1">
                  <c:v>9</c:v>
                </c:pt>
                <c:pt idx="2">
                  <c:v>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0-45A4-A0F6-626DDE8D52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825112270245089"/>
          <c:y val="0.88533277469878646"/>
          <c:w val="0.55138867016622917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Dashboard!$X$12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Dashboard!$W$13:$W$24</c:f>
              <c:strCache>
                <c:ptCount val="12"/>
                <c:pt idx="0">
                  <c:v>Cybersecurity</c:v>
                </c:pt>
                <c:pt idx="1">
                  <c:v>Cloud Security</c:v>
                </c:pt>
                <c:pt idx="2">
                  <c:v>Access Control</c:v>
                </c:pt>
                <c:pt idx="3">
                  <c:v>Vulnerability Management</c:v>
                </c:pt>
                <c:pt idx="4">
                  <c:v>Information Security</c:v>
                </c:pt>
                <c:pt idx="5">
                  <c:v>Third-Party</c:v>
                </c:pt>
                <c:pt idx="6">
                  <c:v>Compliance</c:v>
                </c:pt>
                <c:pt idx="7">
                  <c:v>Operational</c:v>
                </c:pt>
                <c:pt idx="8">
                  <c:v>Business Continuity</c:v>
                </c:pt>
                <c:pt idx="9">
                  <c:v>Physical Security</c:v>
                </c:pt>
                <c:pt idx="10">
                  <c:v>Incident Management</c:v>
                </c:pt>
                <c:pt idx="11">
                  <c:v>Governance</c:v>
                </c:pt>
              </c:strCache>
            </c:strRef>
          </c:cat>
          <c:val>
            <c:numRef>
              <c:f>Dashboard!$X$13:$X$24</c:f>
              <c:numCache>
                <c:formatCode>General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26-4AD3-A0CD-FC9913559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2021000"/>
        <c:axId val="1312023048"/>
      </c:barChart>
      <c:catAx>
        <c:axId val="1312021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023048"/>
        <c:crosses val="autoZero"/>
        <c:auto val="1"/>
        <c:lblAlgn val="ctr"/>
        <c:lblOffset val="100"/>
        <c:noMultiLvlLbl val="0"/>
      </c:catAx>
      <c:valAx>
        <c:axId val="1312023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021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171450</xdr:rowOff>
    </xdr:from>
    <xdr:to>
      <xdr:col>9</xdr:col>
      <xdr:colOff>228600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68E530-CAF7-0E49-7B85-59234CCB4B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447675</xdr:colOff>
      <xdr:row>7</xdr:row>
      <xdr:rowOff>161925</xdr:rowOff>
    </xdr:from>
    <xdr:to>
      <xdr:col>18</xdr:col>
      <xdr:colOff>600075</xdr:colOff>
      <xdr:row>22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43E055-735A-EAFD-39C7-3DC3F4E6D05B}"/>
            </a:ext>
            <a:ext uri="{147F2762-F138-4A5C-976F-8EAC2B608ADB}">
              <a16:predDERef xmlns:a16="http://schemas.microsoft.com/office/drawing/2014/main" pred="{4568E530-CAF7-0E49-7B85-59234CCB4B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161925</xdr:rowOff>
    </xdr:from>
    <xdr:to>
      <xdr:col>18</xdr:col>
      <xdr:colOff>600075</xdr:colOff>
      <xdr:row>48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33F3D6-9A94-1782-021C-9E60044AFC04}"/>
            </a:ext>
            <a:ext uri="{147F2762-F138-4A5C-976F-8EAC2B608ADB}">
              <a16:predDERef xmlns:a16="http://schemas.microsoft.com/office/drawing/2014/main" pred="{B943E055-735A-EAFD-39C7-3DC3F4E6D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391B15-56FC-461F-8D70-30E13F327D24}" name="Table1" displayName="Table1" ref="A7:T22" totalsRowShown="0" headerRowDxfId="21" dataDxfId="20">
  <autoFilter ref="A7:T22" xr:uid="{F5391B15-56FC-461F-8D70-30E13F327D24}"/>
  <tableColumns count="20">
    <tableColumn id="1" xr3:uid="{93BE5976-03E2-47ED-AD8B-EEA9224DF04D}" name="Risk ID" dataDxfId="19"/>
    <tableColumn id="2" xr3:uid="{3830AFDA-34B4-42F7-8BD0-901A3E818FBE}" name="Risk Category" dataDxfId="18"/>
    <tableColumn id="3" xr3:uid="{6CEA83D4-F2D0-48A9-BF31-5A6A86F6D5A2}" name="Risk Statement" dataDxfId="17"/>
    <tableColumn id="4" xr3:uid="{5D1193FA-506A-4D7A-8B33-F891F31CCF89}" name="Asset / Process" dataDxfId="16"/>
    <tableColumn id="5" xr3:uid="{A9A11DD6-5C99-4619-A744-19D0B565E005}" name="Threat" dataDxfId="15"/>
    <tableColumn id="6" xr3:uid="{C98D0D22-F53F-4264-999E-297CB6F461DE}" name="Vulnerability" dataDxfId="14"/>
    <tableColumn id="7" xr3:uid="{5770919D-B8B7-4BE6-815D-1DBE8F3E452A}" name="Likelihood" dataDxfId="13"/>
    <tableColumn id="8" xr3:uid="{C67B280E-0842-4B47-B0DF-2D8F712B9003}" name="Impact" dataDxfId="12"/>
    <tableColumn id="9" xr3:uid="{260FB32D-18BA-4F35-9A59-5EFB132890BA}" name="Inherent Score" dataDxfId="11"/>
    <tableColumn id="10" xr3:uid="{AF3F592D-39E6-4E7B-9139-39A18BBAA8B2}" name="Inherent Rating" dataDxfId="10"/>
    <tableColumn id="11" xr3:uid="{9B293FD3-C857-401A-97C4-B680EC88CA09}" name="Existing Controls" dataDxfId="9"/>
    <tableColumn id="12" xr3:uid="{C675E180-764D-4C82-9563-B362DD22C14A}" name="Control Effectiveness" dataDxfId="8"/>
    <tableColumn id="13" xr3:uid="{2BFEFCB2-2858-416A-9239-CA95C77905E2}" name="Residual Likelihood" dataDxfId="7"/>
    <tableColumn id="14" xr3:uid="{80AD99F3-6782-4641-999B-979F16CB59F7}" name="Residual Impact" dataDxfId="6"/>
    <tableColumn id="15" xr3:uid="{4FB45B90-AEF7-462C-8F6C-42A60A61018B}" name="Residual Score" dataDxfId="5"/>
    <tableColumn id="16" xr3:uid="{6E3D539A-D4BB-4FD7-A143-304C8DEFDFAD}" name="Residual Rating" dataDxfId="4"/>
    <tableColumn id="17" xr3:uid="{A3F39C5C-8486-42E3-9577-D70C3E23CB96}" name="Risk Owner" dataDxfId="3"/>
    <tableColumn id="18" xr3:uid="{738CCAFA-E658-45DB-8B90-734343729CBF}" name="Treatment Plan" dataDxfId="2"/>
    <tableColumn id="19" xr3:uid="{664AB64A-FA71-4EBB-894D-20857FFCDD6B}" name="Target Date" dataDxfId="1"/>
    <tableColumn id="20" xr3:uid="{7B49FB8E-B1B2-46B9-9B73-DAD8DD33535F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6"/>
  <sheetViews>
    <sheetView workbookViewId="0">
      <pane ySplit="7" topLeftCell="A8" activePane="bottomLeft" state="frozen"/>
      <selection pane="bottomLeft" activeCell="D9" sqref="D9"/>
    </sheetView>
  </sheetViews>
  <sheetFormatPr defaultRowHeight="15"/>
  <cols>
    <col min="1" max="1" width="9.42578125" bestFit="1" customWidth="1"/>
    <col min="2" max="2" width="17.42578125" customWidth="1"/>
    <col min="3" max="3" width="23.85546875" customWidth="1"/>
    <col min="4" max="4" width="17" bestFit="1" customWidth="1"/>
    <col min="5" max="5" width="17" customWidth="1"/>
    <col min="6" max="6" width="19.140625" customWidth="1"/>
    <col min="7" max="7" width="14.140625" customWidth="1"/>
    <col min="8" max="8" width="12.42578125" customWidth="1"/>
    <col min="9" max="9" width="12.85546875" customWidth="1"/>
    <col min="10" max="10" width="13" customWidth="1"/>
    <col min="11" max="11" width="30.7109375" bestFit="1" customWidth="1"/>
    <col min="12" max="12" width="21.5703125" bestFit="1" customWidth="1"/>
    <col min="13" max="13" width="14.28515625" customWidth="1"/>
    <col min="14" max="14" width="11.5703125" customWidth="1"/>
    <col min="15" max="15" width="11.7109375" customWidth="1"/>
    <col min="16" max="16" width="12.42578125" customWidth="1"/>
    <col min="17" max="17" width="13.5703125" bestFit="1" customWidth="1"/>
    <col min="18" max="18" width="30.7109375" bestFit="1" customWidth="1"/>
    <col min="19" max="19" width="13.85546875" bestFit="1" customWidth="1"/>
    <col min="20" max="20" width="10.7109375" bestFit="1" customWidth="1"/>
  </cols>
  <sheetData>
    <row r="1" spans="1:20" s="44" customFormat="1" ht="28.5" customHeight="1">
      <c r="A1" s="44" t="s">
        <v>0</v>
      </c>
    </row>
    <row r="2" spans="1:20" s="42" customFormat="1" ht="24" customHeight="1">
      <c r="A2" s="43" t="s">
        <v>1</v>
      </c>
    </row>
    <row r="3" spans="1:20" s="42" customFormat="1" ht="18" customHeight="1">
      <c r="A3" s="42" t="s">
        <v>2</v>
      </c>
    </row>
    <row r="4" spans="1:20" s="42" customFormat="1" ht="19.5" customHeight="1">
      <c r="A4" s="42" t="s">
        <v>3</v>
      </c>
    </row>
    <row r="5" spans="1:20" s="22" customFormat="1" ht="11.25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spans="1:20" s="32" customFormat="1" ht="11.25" customHeight="1"/>
    <row r="7" spans="1:20" s="8" customFormat="1" ht="30.75">
      <c r="A7" s="8" t="s">
        <v>4</v>
      </c>
      <c r="B7" s="8" t="s">
        <v>5</v>
      </c>
      <c r="C7" s="8" t="s">
        <v>6</v>
      </c>
      <c r="D7" s="8" t="s">
        <v>7</v>
      </c>
      <c r="E7" s="8" t="s">
        <v>8</v>
      </c>
      <c r="F7" s="8" t="s">
        <v>9</v>
      </c>
      <c r="G7" s="8" t="s">
        <v>10</v>
      </c>
      <c r="H7" s="8" t="s">
        <v>11</v>
      </c>
      <c r="I7" s="8" t="s">
        <v>12</v>
      </c>
      <c r="J7" s="8" t="s">
        <v>13</v>
      </c>
      <c r="K7" s="8" t="s">
        <v>14</v>
      </c>
      <c r="L7" s="8" t="s">
        <v>15</v>
      </c>
      <c r="M7" s="8" t="s">
        <v>16</v>
      </c>
      <c r="N7" s="8" t="s">
        <v>17</v>
      </c>
      <c r="O7" s="8" t="s">
        <v>18</v>
      </c>
      <c r="P7" s="8" t="s">
        <v>19</v>
      </c>
      <c r="Q7" s="8" t="s">
        <v>20</v>
      </c>
      <c r="R7" s="8" t="s">
        <v>21</v>
      </c>
      <c r="S7" s="8" t="s">
        <v>22</v>
      </c>
      <c r="T7" s="8" t="s">
        <v>23</v>
      </c>
    </row>
    <row r="8" spans="1:20" s="4" customFormat="1" ht="96.75" customHeight="1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>
        <v>4</v>
      </c>
      <c r="H8" s="4">
        <v>4</v>
      </c>
      <c r="I8" s="5">
        <f>G8*H8</f>
        <v>16</v>
      </c>
      <c r="J8" s="4" t="str">
        <f>IF(I8&lt;=4,"Low",IF(I8&lt;=9,"Medium",IF(I8&lt;=16,"High","Critical")))</f>
        <v>High</v>
      </c>
      <c r="K8" s="6" t="s">
        <v>30</v>
      </c>
      <c r="L8" s="4" t="s">
        <v>31</v>
      </c>
      <c r="M8" s="4">
        <v>3</v>
      </c>
      <c r="N8" s="4">
        <v>4</v>
      </c>
      <c r="O8" s="4">
        <f>M8*N8</f>
        <v>12</v>
      </c>
      <c r="P8" s="4" t="str">
        <f>IF(O8&lt;=4,"Low",IF(O8&lt;=9,"Medium",IF(O8&lt;=16,"High","Critical")))</f>
        <v>High</v>
      </c>
      <c r="Q8" s="4" t="s">
        <v>32</v>
      </c>
      <c r="R8" s="6" t="s">
        <v>33</v>
      </c>
      <c r="S8" s="7" t="s">
        <v>34</v>
      </c>
      <c r="T8" s="6" t="s">
        <v>35</v>
      </c>
    </row>
    <row r="9" spans="1:20" ht="106.5">
      <c r="A9" s="29" t="s">
        <v>36</v>
      </c>
      <c r="B9" s="29" t="s">
        <v>25</v>
      </c>
      <c r="C9" s="29" t="s">
        <v>37</v>
      </c>
      <c r="D9" s="29" t="s">
        <v>38</v>
      </c>
      <c r="E9" s="29" t="s">
        <v>39</v>
      </c>
      <c r="F9" s="29" t="s">
        <v>40</v>
      </c>
      <c r="G9" s="29">
        <v>3</v>
      </c>
      <c r="H9" s="29">
        <v>5</v>
      </c>
      <c r="I9" s="29">
        <f>G9*H9</f>
        <v>15</v>
      </c>
      <c r="J9" s="29" t="str">
        <f>IF(I9&lt;=4,"Low",IF(I9&lt;=9,"Medium",IF(I9&lt;=16,"High","Critical")))</f>
        <v>High</v>
      </c>
      <c r="K9" s="29" t="s">
        <v>41</v>
      </c>
      <c r="L9" s="29" t="s">
        <v>31</v>
      </c>
      <c r="M9" s="29">
        <v>2</v>
      </c>
      <c r="N9" s="29">
        <v>5</v>
      </c>
      <c r="O9" s="29">
        <f>M9*N9</f>
        <v>10</v>
      </c>
      <c r="P9" s="29" t="str">
        <f>IF(O9&lt;=4,"Low",IF(O9&lt;=9,"Medium",IF(O9&lt;=16,"High","Critical")))</f>
        <v>High</v>
      </c>
      <c r="Q9" s="29" t="s">
        <v>42</v>
      </c>
      <c r="R9" s="29" t="s">
        <v>43</v>
      </c>
      <c r="S9" s="2" t="s">
        <v>44</v>
      </c>
      <c r="T9" s="29" t="s">
        <v>35</v>
      </c>
    </row>
    <row r="10" spans="1:20" ht="76.5">
      <c r="A10" s="29" t="s">
        <v>45</v>
      </c>
      <c r="B10" s="29" t="s">
        <v>25</v>
      </c>
      <c r="C10" s="29" t="s">
        <v>46</v>
      </c>
      <c r="D10" s="29" t="s">
        <v>47</v>
      </c>
      <c r="E10" s="29" t="s">
        <v>48</v>
      </c>
      <c r="F10" s="29" t="s">
        <v>49</v>
      </c>
      <c r="G10" s="29">
        <v>4</v>
      </c>
      <c r="H10" s="29">
        <v>5</v>
      </c>
      <c r="I10" s="29">
        <f>G10*H10</f>
        <v>20</v>
      </c>
      <c r="J10" s="29" t="str">
        <f>IF(I10&lt;=4,"Low",IF(I10&lt;=9,"Medium",IF(I10&lt;=16,"High","Critical")))</f>
        <v>Critical</v>
      </c>
      <c r="K10" s="29" t="s">
        <v>50</v>
      </c>
      <c r="L10" s="29" t="s">
        <v>31</v>
      </c>
      <c r="M10" s="29">
        <v>2</v>
      </c>
      <c r="N10" s="29">
        <v>5</v>
      </c>
      <c r="O10" s="29">
        <f>M10*N10</f>
        <v>10</v>
      </c>
      <c r="P10" s="29" t="str">
        <f>IF(O10&lt;=4,"Low",IF(O10&lt;=9,"Medium",IF(O10&lt;=16,"High","Critical")))</f>
        <v>High</v>
      </c>
      <c r="Q10" s="29" t="s">
        <v>32</v>
      </c>
      <c r="R10" s="29" t="s">
        <v>51</v>
      </c>
      <c r="S10" s="2" t="s">
        <v>34</v>
      </c>
      <c r="T10" s="29" t="s">
        <v>35</v>
      </c>
    </row>
    <row r="11" spans="1:20" ht="91.5">
      <c r="A11" s="29" t="s">
        <v>52</v>
      </c>
      <c r="B11" s="29" t="s">
        <v>53</v>
      </c>
      <c r="C11" s="29" t="s">
        <v>54</v>
      </c>
      <c r="D11" s="29" t="s">
        <v>55</v>
      </c>
      <c r="E11" s="29" t="s">
        <v>56</v>
      </c>
      <c r="F11" s="29" t="s">
        <v>57</v>
      </c>
      <c r="G11" s="29">
        <v>3</v>
      </c>
      <c r="H11" s="29">
        <v>5</v>
      </c>
      <c r="I11" s="29">
        <f>G11*H11</f>
        <v>15</v>
      </c>
      <c r="J11" s="29" t="str">
        <f>IF(I11&lt;=4,"Low",IF(I11&lt;=9,"Medium",IF(I11&lt;=16,"High","Critical")))</f>
        <v>High</v>
      </c>
      <c r="K11" s="29" t="s">
        <v>58</v>
      </c>
      <c r="L11" s="29" t="s">
        <v>59</v>
      </c>
      <c r="M11" s="29">
        <v>2</v>
      </c>
      <c r="N11" s="29">
        <v>5</v>
      </c>
      <c r="O11" s="29">
        <f>M11*N11</f>
        <v>10</v>
      </c>
      <c r="P11" s="29" t="str">
        <f>IF(O11&lt;=4,"Low",IF(O11&lt;=9,"Medium",IF(O11&lt;=16,"High","Critical")))</f>
        <v>High</v>
      </c>
      <c r="Q11" s="29" t="s">
        <v>60</v>
      </c>
      <c r="R11" s="29" t="s">
        <v>61</v>
      </c>
      <c r="S11" s="2" t="s">
        <v>62</v>
      </c>
      <c r="T11" s="29" t="s">
        <v>63</v>
      </c>
    </row>
    <row r="12" spans="1:20" ht="76.5">
      <c r="A12" s="29" t="s">
        <v>64</v>
      </c>
      <c r="B12" s="29" t="s">
        <v>65</v>
      </c>
      <c r="C12" s="29" t="s">
        <v>66</v>
      </c>
      <c r="D12" s="29" t="s">
        <v>67</v>
      </c>
      <c r="E12" s="29" t="s">
        <v>68</v>
      </c>
      <c r="F12" s="29" t="s">
        <v>69</v>
      </c>
      <c r="G12" s="29">
        <v>4</v>
      </c>
      <c r="H12" s="29">
        <v>5</v>
      </c>
      <c r="I12" s="29">
        <f>G12*H12</f>
        <v>20</v>
      </c>
      <c r="J12" s="29" t="str">
        <f>IF(I12&lt;=4,"Low",IF(I12&lt;=9,"Medium",IF(I12&lt;=16,"High","Critical")))</f>
        <v>Critical</v>
      </c>
      <c r="K12" s="29" t="s">
        <v>70</v>
      </c>
      <c r="L12" s="29" t="s">
        <v>31</v>
      </c>
      <c r="M12" s="29">
        <v>2</v>
      </c>
      <c r="N12" s="29">
        <v>5</v>
      </c>
      <c r="O12" s="29">
        <f>M12*N12</f>
        <v>10</v>
      </c>
      <c r="P12" s="29" t="str">
        <f>IF(O12&lt;=4,"Low",IF(O12&lt;=9,"Medium",IF(O12&lt;=16,"High","Critical")))</f>
        <v>High</v>
      </c>
      <c r="Q12" s="29" t="s">
        <v>71</v>
      </c>
      <c r="R12" s="29" t="s">
        <v>72</v>
      </c>
      <c r="S12" s="2" t="s">
        <v>44</v>
      </c>
      <c r="T12" s="29" t="s">
        <v>35</v>
      </c>
    </row>
    <row r="13" spans="1:20" ht="106.5">
      <c r="A13" s="29" t="s">
        <v>73</v>
      </c>
      <c r="B13" s="29" t="s">
        <v>74</v>
      </c>
      <c r="C13" s="29" t="s">
        <v>75</v>
      </c>
      <c r="D13" s="29" t="s">
        <v>76</v>
      </c>
      <c r="E13" s="29" t="s">
        <v>77</v>
      </c>
      <c r="F13" s="29" t="s">
        <v>78</v>
      </c>
      <c r="G13" s="29">
        <v>3</v>
      </c>
      <c r="H13" s="29">
        <v>5</v>
      </c>
      <c r="I13" s="29">
        <f>G13*H13</f>
        <v>15</v>
      </c>
      <c r="J13" s="29" t="str">
        <f>IF(I13&lt;=4,"Low",IF(I13&lt;=9,"Medium",IF(I13&lt;=16,"High","Critical")))</f>
        <v>High</v>
      </c>
      <c r="K13" s="29" t="s">
        <v>79</v>
      </c>
      <c r="L13" s="29" t="s">
        <v>31</v>
      </c>
      <c r="M13" s="29">
        <v>2</v>
      </c>
      <c r="N13" s="29">
        <v>5</v>
      </c>
      <c r="O13" s="29">
        <f>M13*N13</f>
        <v>10</v>
      </c>
      <c r="P13" s="29" t="str">
        <f>IF(O13&lt;=4,"Low",IF(O13&lt;=9,"Medium",IF(O13&lt;=16,"High","Critical")))</f>
        <v>High</v>
      </c>
      <c r="Q13" s="29" t="s">
        <v>80</v>
      </c>
      <c r="R13" s="29" t="s">
        <v>81</v>
      </c>
      <c r="S13" s="2" t="s">
        <v>34</v>
      </c>
      <c r="T13" s="29" t="s">
        <v>35</v>
      </c>
    </row>
    <row r="14" spans="1:20" ht="76.5">
      <c r="A14" s="29" t="s">
        <v>82</v>
      </c>
      <c r="B14" s="29" t="s">
        <v>83</v>
      </c>
      <c r="C14" s="29" t="s">
        <v>84</v>
      </c>
      <c r="D14" s="29" t="s">
        <v>85</v>
      </c>
      <c r="E14" s="29" t="s">
        <v>86</v>
      </c>
      <c r="F14" s="29" t="s">
        <v>87</v>
      </c>
      <c r="G14" s="29">
        <v>4</v>
      </c>
      <c r="H14" s="29">
        <v>4</v>
      </c>
      <c r="I14" s="29">
        <f>G14*H14</f>
        <v>16</v>
      </c>
      <c r="J14" s="29" t="str">
        <f>IF(I14&lt;=4,"Low",IF(I14&lt;=9,"Medium",IF(I14&lt;=16,"High","Critical")))</f>
        <v>High</v>
      </c>
      <c r="K14" s="29" t="s">
        <v>88</v>
      </c>
      <c r="L14" s="29" t="s">
        <v>59</v>
      </c>
      <c r="M14" s="29">
        <v>3</v>
      </c>
      <c r="N14" s="29">
        <v>4</v>
      </c>
      <c r="O14" s="29">
        <f>M14*N14</f>
        <v>12</v>
      </c>
      <c r="P14" s="29" t="str">
        <f>IF(O14&lt;=4,"Low",IF(O14&lt;=9,"Medium",IF(O14&lt;=16,"High","Critical")))</f>
        <v>High</v>
      </c>
      <c r="Q14" s="29" t="s">
        <v>89</v>
      </c>
      <c r="R14" s="29" t="s">
        <v>90</v>
      </c>
      <c r="S14" s="2" t="s">
        <v>44</v>
      </c>
      <c r="T14" s="29" t="s">
        <v>35</v>
      </c>
    </row>
    <row r="15" spans="1:20" ht="76.5">
      <c r="A15" s="29" t="s">
        <v>91</v>
      </c>
      <c r="B15" s="29" t="s">
        <v>92</v>
      </c>
      <c r="C15" s="29" t="s">
        <v>93</v>
      </c>
      <c r="D15" s="29" t="s">
        <v>94</v>
      </c>
      <c r="E15" s="29" t="s">
        <v>95</v>
      </c>
      <c r="F15" s="29" t="s">
        <v>96</v>
      </c>
      <c r="G15" s="29">
        <v>3</v>
      </c>
      <c r="H15" s="29">
        <v>5</v>
      </c>
      <c r="I15" s="29">
        <f>G15*H15</f>
        <v>15</v>
      </c>
      <c r="J15" s="29" t="str">
        <f>IF(I15&lt;=4,"Low",IF(I15&lt;=9,"Medium",IF(I15&lt;=16,"High","Critical")))</f>
        <v>High</v>
      </c>
      <c r="K15" s="29" t="s">
        <v>97</v>
      </c>
      <c r="L15" s="29" t="s">
        <v>31</v>
      </c>
      <c r="M15" s="29">
        <v>2</v>
      </c>
      <c r="N15" s="29">
        <v>5</v>
      </c>
      <c r="O15" s="29">
        <f>M15*N15</f>
        <v>10</v>
      </c>
      <c r="P15" s="29" t="str">
        <f>IF(O15&lt;=4,"Low",IF(O15&lt;=9,"Medium",IF(O15&lt;=16,"High","Critical")))</f>
        <v>High</v>
      </c>
      <c r="Q15" s="29" t="s">
        <v>42</v>
      </c>
      <c r="R15" s="29" t="s">
        <v>98</v>
      </c>
      <c r="S15" s="2" t="s">
        <v>99</v>
      </c>
      <c r="T15" s="29" t="s">
        <v>100</v>
      </c>
    </row>
    <row r="16" spans="1:20" ht="76.5">
      <c r="A16" s="29" t="s">
        <v>101</v>
      </c>
      <c r="B16" s="29" t="s">
        <v>102</v>
      </c>
      <c r="C16" s="29" t="s">
        <v>103</v>
      </c>
      <c r="D16" s="29" t="s">
        <v>104</v>
      </c>
      <c r="E16" s="29" t="s">
        <v>105</v>
      </c>
      <c r="F16" s="29" t="s">
        <v>106</v>
      </c>
      <c r="G16" s="29">
        <v>3</v>
      </c>
      <c r="H16" s="29">
        <v>3</v>
      </c>
      <c r="I16" s="29">
        <f>G16*H16</f>
        <v>9</v>
      </c>
      <c r="J16" s="29" t="str">
        <f>IF(I16&lt;=4,"Low",IF(I16&lt;=9,"Medium",IF(I16&lt;=16,"High","Critical")))</f>
        <v>Medium</v>
      </c>
      <c r="K16" s="29" t="s">
        <v>107</v>
      </c>
      <c r="L16" s="29" t="s">
        <v>31</v>
      </c>
      <c r="M16" s="29">
        <v>2</v>
      </c>
      <c r="N16" s="29">
        <v>3</v>
      </c>
      <c r="O16" s="29">
        <f>M16*N16</f>
        <v>6</v>
      </c>
      <c r="P16" s="29" t="str">
        <f>IF(O16&lt;=4,"Low",IF(O16&lt;=9,"Medium",IF(O16&lt;=16,"High","Critical")))</f>
        <v>Medium</v>
      </c>
      <c r="Q16" s="29" t="s">
        <v>60</v>
      </c>
      <c r="R16" s="29" t="s">
        <v>108</v>
      </c>
      <c r="S16" s="2" t="s">
        <v>62</v>
      </c>
      <c r="T16" s="29" t="s">
        <v>100</v>
      </c>
    </row>
    <row r="17" spans="1:20" ht="76.5">
      <c r="A17" s="29" t="s">
        <v>109</v>
      </c>
      <c r="B17" s="29" t="s">
        <v>53</v>
      </c>
      <c r="C17" s="29" t="s">
        <v>110</v>
      </c>
      <c r="D17" s="29" t="s">
        <v>111</v>
      </c>
      <c r="E17" s="29" t="s">
        <v>112</v>
      </c>
      <c r="F17" s="29" t="s">
        <v>113</v>
      </c>
      <c r="G17" s="29">
        <v>4</v>
      </c>
      <c r="H17" s="29">
        <v>4</v>
      </c>
      <c r="I17" s="29">
        <f>G17*H17</f>
        <v>16</v>
      </c>
      <c r="J17" s="29" t="str">
        <f>IF(I17&lt;=4,"Low",IF(I17&lt;=9,"Medium",IF(I17&lt;=16,"High","Critical")))</f>
        <v>High</v>
      </c>
      <c r="K17" s="29" t="s">
        <v>114</v>
      </c>
      <c r="L17" s="29" t="s">
        <v>59</v>
      </c>
      <c r="M17" s="29">
        <v>3</v>
      </c>
      <c r="N17" s="29">
        <v>4</v>
      </c>
      <c r="O17" s="29">
        <f>M17*N17</f>
        <v>12</v>
      </c>
      <c r="P17" s="29" t="str">
        <f>IF(O17&lt;=4,"Low",IF(O17&lt;=9,"Medium",IF(O17&lt;=16,"High","Critical")))</f>
        <v>High</v>
      </c>
      <c r="Q17" s="29" t="s">
        <v>115</v>
      </c>
      <c r="R17" s="29" t="s">
        <v>116</v>
      </c>
      <c r="S17" s="2" t="s">
        <v>44</v>
      </c>
      <c r="T17" s="29" t="s">
        <v>35</v>
      </c>
    </row>
    <row r="18" spans="1:20" ht="91.5">
      <c r="A18" s="29" t="s">
        <v>117</v>
      </c>
      <c r="B18" s="29" t="s">
        <v>118</v>
      </c>
      <c r="C18" s="29" t="s">
        <v>119</v>
      </c>
      <c r="D18" s="29" t="s">
        <v>120</v>
      </c>
      <c r="E18" s="29" t="s">
        <v>121</v>
      </c>
      <c r="F18" s="29" t="s">
        <v>122</v>
      </c>
      <c r="G18" s="29">
        <v>3</v>
      </c>
      <c r="H18" s="29">
        <v>5</v>
      </c>
      <c r="I18" s="29">
        <f>G18*H18</f>
        <v>15</v>
      </c>
      <c r="J18" s="29" t="str">
        <f>IF(I18&lt;=4,"Low",IF(I18&lt;=9,"Medium",IF(I18&lt;=16,"High","Critical")))</f>
        <v>High</v>
      </c>
      <c r="K18" s="29" t="s">
        <v>123</v>
      </c>
      <c r="L18" s="29" t="s">
        <v>59</v>
      </c>
      <c r="M18" s="29">
        <v>2</v>
      </c>
      <c r="N18" s="29">
        <v>5</v>
      </c>
      <c r="O18" s="29">
        <f>M18*N18</f>
        <v>10</v>
      </c>
      <c r="P18" s="29" t="str">
        <f>IF(O18&lt;=4,"Low",IF(O18&lt;=9,"Medium",IF(O18&lt;=16,"High","Critical")))</f>
        <v>High</v>
      </c>
      <c r="Q18" s="29" t="s">
        <v>124</v>
      </c>
      <c r="R18" s="29" t="s">
        <v>125</v>
      </c>
      <c r="S18" s="2" t="s">
        <v>99</v>
      </c>
      <c r="T18" s="29" t="s">
        <v>63</v>
      </c>
    </row>
    <row r="19" spans="1:20" ht="76.5">
      <c r="A19" s="29" t="s">
        <v>126</v>
      </c>
      <c r="B19" s="29" t="s">
        <v>127</v>
      </c>
      <c r="C19" s="29" t="s">
        <v>128</v>
      </c>
      <c r="D19" s="29" t="s">
        <v>129</v>
      </c>
      <c r="E19" s="29" t="s">
        <v>68</v>
      </c>
      <c r="F19" s="29" t="s">
        <v>130</v>
      </c>
      <c r="G19" s="29">
        <v>4</v>
      </c>
      <c r="H19" s="29">
        <v>4</v>
      </c>
      <c r="I19" s="29">
        <f>G19*H19</f>
        <v>16</v>
      </c>
      <c r="J19" s="29" t="str">
        <f>IF(I19&lt;=4,"Low",IF(I19&lt;=9,"Medium",IF(I19&lt;=16,"High","Critical")))</f>
        <v>High</v>
      </c>
      <c r="K19" s="29" t="s">
        <v>131</v>
      </c>
      <c r="L19" s="29" t="s">
        <v>59</v>
      </c>
      <c r="M19" s="29">
        <v>3</v>
      </c>
      <c r="N19" s="29">
        <v>4</v>
      </c>
      <c r="O19" s="29">
        <f>M19*N19</f>
        <v>12</v>
      </c>
      <c r="P19" s="29" t="str">
        <f>IF(O19&lt;=4,"Low",IF(O19&lt;=9,"Medium",IF(O19&lt;=16,"High","Critical")))</f>
        <v>High</v>
      </c>
      <c r="Q19" s="29" t="s">
        <v>42</v>
      </c>
      <c r="R19" s="29" t="s">
        <v>132</v>
      </c>
      <c r="S19" s="2" t="s">
        <v>62</v>
      </c>
      <c r="T19" s="29" t="s">
        <v>35</v>
      </c>
    </row>
    <row r="20" spans="1:20" ht="60.75">
      <c r="A20" s="29" t="s">
        <v>133</v>
      </c>
      <c r="B20" s="29" t="s">
        <v>134</v>
      </c>
      <c r="C20" s="29" t="s">
        <v>135</v>
      </c>
      <c r="D20" s="29" t="s">
        <v>136</v>
      </c>
      <c r="E20" s="29" t="s">
        <v>137</v>
      </c>
      <c r="F20" s="29" t="s">
        <v>138</v>
      </c>
      <c r="G20" s="29">
        <v>3</v>
      </c>
      <c r="H20" s="29">
        <v>4</v>
      </c>
      <c r="I20" s="29">
        <f>G20*H20</f>
        <v>12</v>
      </c>
      <c r="J20" s="29" t="str">
        <f>IF(I20&lt;=4,"Low",IF(I20&lt;=9,"Medium",IF(I20&lt;=16,"High","Critical")))</f>
        <v>High</v>
      </c>
      <c r="K20" s="29" t="s">
        <v>139</v>
      </c>
      <c r="L20" s="29" t="s">
        <v>31</v>
      </c>
      <c r="M20" s="29">
        <v>2</v>
      </c>
      <c r="N20" s="29">
        <v>4</v>
      </c>
      <c r="O20" s="29">
        <f>M20*N20</f>
        <v>8</v>
      </c>
      <c r="P20" s="29" t="str">
        <f>IF(O20&lt;=4,"Low",IF(O20&lt;=9,"Medium",IF(O20&lt;=16,"High","Critical")))</f>
        <v>Medium</v>
      </c>
      <c r="Q20" s="29" t="s">
        <v>140</v>
      </c>
      <c r="R20" s="29" t="s">
        <v>141</v>
      </c>
      <c r="S20" s="2" t="s">
        <v>44</v>
      </c>
      <c r="T20" s="29" t="s">
        <v>100</v>
      </c>
    </row>
    <row r="21" spans="1:20" ht="76.5">
      <c r="A21" s="29" t="s">
        <v>142</v>
      </c>
      <c r="B21" s="29" t="s">
        <v>143</v>
      </c>
      <c r="C21" s="29" t="s">
        <v>144</v>
      </c>
      <c r="D21" s="29" t="s">
        <v>145</v>
      </c>
      <c r="E21" s="29" t="s">
        <v>146</v>
      </c>
      <c r="F21" s="29" t="s">
        <v>147</v>
      </c>
      <c r="G21" s="29">
        <v>3</v>
      </c>
      <c r="H21" s="29">
        <v>5</v>
      </c>
      <c r="I21" s="29">
        <f>G21*H20</f>
        <v>12</v>
      </c>
      <c r="J21" s="29" t="str">
        <f>IF(I21&lt;=4,"Low",IF(I21&lt;=9,"Medium",IF(I21&lt;=16,"High","Critical")))</f>
        <v>High</v>
      </c>
      <c r="K21" s="29" t="s">
        <v>148</v>
      </c>
      <c r="L21" s="29" t="s">
        <v>59</v>
      </c>
      <c r="M21" s="29">
        <v>2</v>
      </c>
      <c r="N21" s="29">
        <v>5</v>
      </c>
      <c r="O21" s="29">
        <f>M21*N21</f>
        <v>10</v>
      </c>
      <c r="P21" s="29" t="str">
        <f>IF(O21&lt;=4,"Low",IF(O21&lt;=9,"Medium",IF(O21&lt;=16,"High","Critical")))</f>
        <v>High</v>
      </c>
      <c r="Q21" s="29" t="s">
        <v>32</v>
      </c>
      <c r="R21" s="29" t="s">
        <v>149</v>
      </c>
      <c r="S21" s="2" t="s">
        <v>34</v>
      </c>
      <c r="T21" s="29" t="s">
        <v>35</v>
      </c>
    </row>
    <row r="22" spans="1:20" ht="91.5">
      <c r="A22" s="29" t="s">
        <v>150</v>
      </c>
      <c r="B22" s="29" t="s">
        <v>151</v>
      </c>
      <c r="C22" s="29" t="s">
        <v>152</v>
      </c>
      <c r="D22" s="29" t="s">
        <v>153</v>
      </c>
      <c r="E22" s="29" t="s">
        <v>154</v>
      </c>
      <c r="F22" s="29" t="s">
        <v>155</v>
      </c>
      <c r="G22" s="29">
        <v>3</v>
      </c>
      <c r="H22" s="29">
        <v>3</v>
      </c>
      <c r="I22" s="29">
        <f>G22*H22</f>
        <v>9</v>
      </c>
      <c r="J22" s="29" t="str">
        <f>IF(I22&lt;=4,"Low",IF(I22&lt;=9,"Medium",IF(I22&lt;=16,"High","Critical")))</f>
        <v>Medium</v>
      </c>
      <c r="K22" s="29" t="s">
        <v>156</v>
      </c>
      <c r="L22" s="29" t="s">
        <v>31</v>
      </c>
      <c r="M22" s="29">
        <v>2</v>
      </c>
      <c r="N22" s="29">
        <v>3</v>
      </c>
      <c r="O22" s="29">
        <f>M22*N22</f>
        <v>6</v>
      </c>
      <c r="P22" s="29" t="str">
        <f>IF(O22&lt;=4,"Low",IF(O22&lt;=9,"Medium",IF(O22&lt;=16,"High","Critical")))</f>
        <v>Medium</v>
      </c>
      <c r="Q22" s="29" t="s">
        <v>157</v>
      </c>
      <c r="R22" s="29" t="s">
        <v>158</v>
      </c>
      <c r="S22" s="2" t="s">
        <v>99</v>
      </c>
      <c r="T22" s="29" t="s">
        <v>100</v>
      </c>
    </row>
    <row r="23" spans="1:20">
      <c r="S23" s="3"/>
    </row>
    <row r="24" spans="1:20">
      <c r="S24" s="3"/>
    </row>
    <row r="25" spans="1:20">
      <c r="S25" s="3"/>
    </row>
    <row r="26" spans="1:20">
      <c r="S26" s="3"/>
    </row>
    <row r="27" spans="1:20">
      <c r="S27" s="3"/>
    </row>
    <row r="28" spans="1:20">
      <c r="S28" s="3"/>
    </row>
    <row r="29" spans="1:20">
      <c r="S29" s="3"/>
    </row>
    <row r="30" spans="1:20">
      <c r="S30" s="3"/>
    </row>
    <row r="31" spans="1:20">
      <c r="S31" s="3"/>
    </row>
    <row r="32" spans="1:20">
      <c r="S32" s="3"/>
    </row>
    <row r="33" spans="19:19">
      <c r="S33" s="3"/>
    </row>
    <row r="34" spans="19:19">
      <c r="S34" s="3"/>
    </row>
    <row r="35" spans="19:19">
      <c r="S35" s="3"/>
    </row>
    <row r="36" spans="19:19">
      <c r="S36" s="3"/>
    </row>
    <row r="37" spans="19:19">
      <c r="S37" s="3"/>
    </row>
    <row r="38" spans="19:19">
      <c r="S38" s="3"/>
    </row>
    <row r="39" spans="19:19">
      <c r="S39" s="3"/>
    </row>
    <row r="40" spans="19:19">
      <c r="S40" s="3"/>
    </row>
    <row r="41" spans="19:19">
      <c r="S41" s="3"/>
    </row>
    <row r="42" spans="19:19">
      <c r="S42" s="3"/>
    </row>
    <row r="43" spans="19:19">
      <c r="S43" s="3"/>
    </row>
    <row r="44" spans="19:19">
      <c r="S44" s="3"/>
    </row>
    <row r="45" spans="19:19">
      <c r="S45" s="3"/>
    </row>
    <row r="46" spans="19:19">
      <c r="S46" s="3"/>
    </row>
    <row r="47" spans="19:19">
      <c r="S47" s="3"/>
    </row>
    <row r="48" spans="19:19">
      <c r="S48" s="3"/>
    </row>
    <row r="49" spans="19:19">
      <c r="S49" s="3"/>
    </row>
    <row r="50" spans="19:19">
      <c r="S50" s="3"/>
    </row>
    <row r="51" spans="19:19">
      <c r="S51" s="3"/>
    </row>
    <row r="52" spans="19:19">
      <c r="S52" s="3"/>
    </row>
    <row r="53" spans="19:19">
      <c r="S53" s="3"/>
    </row>
    <row r="54" spans="19:19">
      <c r="S54" s="3"/>
    </row>
    <row r="55" spans="19:19">
      <c r="S55" s="3"/>
    </row>
    <row r="56" spans="19:19">
      <c r="S56" s="3"/>
    </row>
    <row r="57" spans="19:19">
      <c r="S57" s="3"/>
    </row>
    <row r="58" spans="19:19">
      <c r="S58" s="3"/>
    </row>
    <row r="59" spans="19:19">
      <c r="S59" s="3"/>
    </row>
    <row r="60" spans="19:19">
      <c r="S60" s="3"/>
    </row>
    <row r="61" spans="19:19">
      <c r="S61" s="3"/>
    </row>
    <row r="62" spans="19:19">
      <c r="S62" s="3"/>
    </row>
    <row r="63" spans="19:19">
      <c r="S63" s="3"/>
    </row>
    <row r="64" spans="19:19">
      <c r="S64" s="3"/>
    </row>
    <row r="65" spans="19:19">
      <c r="S65" s="3"/>
    </row>
    <row r="66" spans="19:19">
      <c r="S66" s="3"/>
    </row>
    <row r="67" spans="19:19">
      <c r="S67" s="3"/>
    </row>
    <row r="68" spans="19:19">
      <c r="S68" s="3"/>
    </row>
    <row r="69" spans="19:19">
      <c r="S69" s="3"/>
    </row>
    <row r="70" spans="19:19">
      <c r="S70" s="3"/>
    </row>
    <row r="71" spans="19:19">
      <c r="S71" s="3"/>
    </row>
    <row r="72" spans="19:19">
      <c r="S72" s="3"/>
    </row>
    <row r="73" spans="19:19">
      <c r="S73" s="3"/>
    </row>
    <row r="74" spans="19:19">
      <c r="S74" s="3"/>
    </row>
    <row r="75" spans="19:19">
      <c r="S75" s="3"/>
    </row>
    <row r="76" spans="19:19">
      <c r="S76" s="3"/>
    </row>
    <row r="77" spans="19:19">
      <c r="S77" s="3"/>
    </row>
    <row r="78" spans="19:19">
      <c r="S78" s="3"/>
    </row>
    <row r="79" spans="19:19">
      <c r="S79" s="3"/>
    </row>
    <row r="80" spans="19:19">
      <c r="S80" s="3"/>
    </row>
    <row r="81" spans="19:19">
      <c r="S81" s="3"/>
    </row>
    <row r="82" spans="19:19">
      <c r="S82" s="3"/>
    </row>
    <row r="83" spans="19:19">
      <c r="S83" s="3"/>
    </row>
    <row r="84" spans="19:19">
      <c r="S84" s="3"/>
    </row>
    <row r="85" spans="19:19">
      <c r="S85" s="3"/>
    </row>
    <row r="86" spans="19:19">
      <c r="S86" s="3"/>
    </row>
    <row r="87" spans="19:19">
      <c r="S87" s="3"/>
    </row>
    <row r="88" spans="19:19">
      <c r="S88" s="3"/>
    </row>
    <row r="89" spans="19:19">
      <c r="S89" s="3"/>
    </row>
    <row r="90" spans="19:19">
      <c r="S90" s="3"/>
    </row>
    <row r="91" spans="19:19">
      <c r="S91" s="3"/>
    </row>
    <row r="92" spans="19:19">
      <c r="S92" s="3"/>
    </row>
    <row r="93" spans="19:19">
      <c r="S93" s="3"/>
    </row>
    <row r="94" spans="19:19">
      <c r="S94" s="3"/>
    </row>
    <row r="95" spans="19:19">
      <c r="S95" s="3"/>
    </row>
    <row r="96" spans="19:19">
      <c r="S96" s="3"/>
    </row>
    <row r="97" spans="19:19">
      <c r="S97" s="3"/>
    </row>
    <row r="98" spans="19:19">
      <c r="S98" s="3"/>
    </row>
    <row r="99" spans="19:19">
      <c r="S99" s="3"/>
    </row>
    <row r="100" spans="19:19">
      <c r="S100" s="3"/>
    </row>
    <row r="101" spans="19:19">
      <c r="S101" s="3"/>
    </row>
    <row r="102" spans="19:19">
      <c r="S102" s="3"/>
    </row>
    <row r="103" spans="19:19">
      <c r="S103" s="3"/>
    </row>
    <row r="104" spans="19:19">
      <c r="S104" s="3"/>
    </row>
    <row r="105" spans="19:19">
      <c r="S105" s="3"/>
    </row>
    <row r="106" spans="19:19">
      <c r="S106" s="3"/>
    </row>
  </sheetData>
  <mergeCells count="5">
    <mergeCell ref="A6:XFD6"/>
    <mergeCell ref="A4:XFD4"/>
    <mergeCell ref="A3:XFD3"/>
    <mergeCell ref="A2:XFD2"/>
    <mergeCell ref="A1:XFD1"/>
  </mergeCells>
  <conditionalFormatting sqref="J8:J106">
    <cfRule type="containsText" dxfId="29" priority="8" operator="containsText" text="Low">
      <formula>NOT(ISERROR(SEARCH("Low",J8)))</formula>
    </cfRule>
  </conditionalFormatting>
  <conditionalFormatting sqref="J8:J106">
    <cfRule type="containsText" dxfId="28" priority="7" operator="containsText" text="Medium">
      <formula>NOT(ISERROR(SEARCH("Medium",J8)))</formula>
    </cfRule>
  </conditionalFormatting>
  <conditionalFormatting sqref="J8:J106">
    <cfRule type="containsText" dxfId="27" priority="6" operator="containsText" text="High">
      <formula>NOT(ISERROR(SEARCH("High",J8)))</formula>
    </cfRule>
  </conditionalFormatting>
  <conditionalFormatting sqref="J8:J106">
    <cfRule type="containsText" dxfId="26" priority="5" operator="containsText" text="Critical">
      <formula>NOT(ISERROR(SEARCH("Critical",J8)))</formula>
    </cfRule>
  </conditionalFormatting>
  <conditionalFormatting sqref="P8:P106">
    <cfRule type="containsText" dxfId="25" priority="4" operator="containsText" text="Low">
      <formula>NOT(ISERROR(SEARCH("Low",P8)))</formula>
    </cfRule>
  </conditionalFormatting>
  <conditionalFormatting sqref="P8:P106">
    <cfRule type="containsText" dxfId="24" priority="3" operator="containsText" text="Medium">
      <formula>NOT(ISERROR(SEARCH("Medium",P8)))</formula>
    </cfRule>
  </conditionalFormatting>
  <conditionalFormatting sqref="P8:P106">
    <cfRule type="containsText" dxfId="23" priority="2" operator="containsText" text="High">
      <formula>NOT(ISERROR(SEARCH("High",P8)))</formula>
    </cfRule>
  </conditionalFormatting>
  <conditionalFormatting sqref="P8:P106">
    <cfRule type="containsText" dxfId="22" priority="1" operator="containsText" text="Critical">
      <formula>NOT(ISERROR(SEARCH("Critical",P8)))</formula>
    </cfRule>
  </conditionalFormatting>
  <dataValidations count="5">
    <dataValidation type="list" allowBlank="1" showInputMessage="1" showErrorMessage="1" sqref="B8:B22" xr:uid="{C6556F9C-957E-4378-8012-3254EDE0E5ED}">
      <formula1>"Cybersecurity,Cloud Security,Access Control,Vulnerability Management,Information Security,Third-Party,Compliance,Operational,Business Continuity,Physical Security,Incident Management,Governance"</formula1>
    </dataValidation>
    <dataValidation type="list" allowBlank="1" showInputMessage="1" showErrorMessage="1" sqref="L8:L22" xr:uid="{469F87B3-34A8-4901-B693-68E203FC17D5}">
      <formula1>"Ineffective,Partially Effective,Adequately Effective,Effective,Highly Effective"</formula1>
    </dataValidation>
    <dataValidation type="list" allowBlank="1" showInputMessage="1" showErrorMessage="1" sqref="T8:T22" xr:uid="{79FFDCB6-CE61-4B8D-A0B8-45364896D472}">
      <formula1>"Open,In Progress,Monitoring,Closed"</formula1>
    </dataValidation>
    <dataValidation type="list" allowBlank="1" showInputMessage="1" showErrorMessage="1" sqref="M8:N22 G8:H22" xr:uid="{663E74FC-B67A-41A2-98C5-3B314F9721E1}">
      <formula1>"1,2,3,4,5"</formula1>
    </dataValidation>
    <dataValidation allowBlank="1" showInputMessage="1" showErrorMessage="1" sqref="A7:XFD7" xr:uid="{8B03FACC-6338-4D91-B1DB-24A3936D1B2F}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71394-AB0B-4AA9-AD32-0F019B5854A8}">
  <dimension ref="A1:G16"/>
  <sheetViews>
    <sheetView workbookViewId="0">
      <selection activeCell="F25" sqref="F25"/>
    </sheetView>
  </sheetViews>
  <sheetFormatPr defaultRowHeight="15"/>
  <cols>
    <col min="2" max="2" width="19.140625" customWidth="1"/>
    <col min="3" max="3" width="15.42578125" customWidth="1"/>
    <col min="4" max="4" width="14.7109375" customWidth="1"/>
    <col min="5" max="5" width="13.140625" customWidth="1"/>
    <col min="6" max="6" width="13.28515625" customWidth="1"/>
    <col min="7" max="7" width="14.28515625" customWidth="1"/>
  </cols>
  <sheetData>
    <row r="1" spans="1:7" s="45" customFormat="1" ht="41.25" customHeight="1">
      <c r="A1" s="45" t="s">
        <v>159</v>
      </c>
    </row>
    <row r="4" spans="1:7" ht="38.25" customHeight="1">
      <c r="B4" s="13" t="s">
        <v>160</v>
      </c>
      <c r="C4" s="13" t="s">
        <v>161</v>
      </c>
      <c r="D4" s="13" t="s">
        <v>162</v>
      </c>
      <c r="E4" s="13" t="s">
        <v>163</v>
      </c>
      <c r="F4" s="13" t="s">
        <v>164</v>
      </c>
      <c r="G4" s="13" t="s">
        <v>165</v>
      </c>
    </row>
    <row r="5" spans="1:7" ht="48.75" customHeight="1">
      <c r="B5" s="13" t="s">
        <v>166</v>
      </c>
      <c r="C5" s="10" t="s">
        <v>167</v>
      </c>
      <c r="D5" s="11" t="s">
        <v>168</v>
      </c>
      <c r="E5" s="11" t="s">
        <v>169</v>
      </c>
      <c r="F5" s="12" t="s">
        <v>170</v>
      </c>
      <c r="G5" s="12" t="s">
        <v>171</v>
      </c>
    </row>
    <row r="6" spans="1:7" ht="51" customHeight="1">
      <c r="B6" s="13" t="s">
        <v>172</v>
      </c>
      <c r="C6" s="9" t="s">
        <v>173</v>
      </c>
      <c r="D6" s="10" t="s">
        <v>174</v>
      </c>
      <c r="E6" s="11" t="s">
        <v>175</v>
      </c>
      <c r="F6" s="11" t="s">
        <v>176</v>
      </c>
      <c r="G6" s="12" t="s">
        <v>170</v>
      </c>
    </row>
    <row r="7" spans="1:7" ht="54" customHeight="1">
      <c r="B7" s="13" t="s">
        <v>177</v>
      </c>
      <c r="C7" s="9" t="s">
        <v>178</v>
      </c>
      <c r="D7" s="10" t="s">
        <v>179</v>
      </c>
      <c r="E7" s="10" t="s">
        <v>180</v>
      </c>
      <c r="F7" s="11" t="s">
        <v>175</v>
      </c>
      <c r="G7" s="11" t="s">
        <v>169</v>
      </c>
    </row>
    <row r="8" spans="1:7" ht="53.25" customHeight="1">
      <c r="B8" s="13" t="s">
        <v>181</v>
      </c>
      <c r="C8" s="9" t="s">
        <v>182</v>
      </c>
      <c r="D8" s="9" t="s">
        <v>173</v>
      </c>
      <c r="E8" s="10" t="s">
        <v>179</v>
      </c>
      <c r="F8" s="10" t="s">
        <v>174</v>
      </c>
      <c r="G8" s="11" t="s">
        <v>168</v>
      </c>
    </row>
    <row r="9" spans="1:7" ht="52.5" customHeight="1">
      <c r="B9" s="13" t="s">
        <v>183</v>
      </c>
      <c r="C9" s="9" t="s">
        <v>184</v>
      </c>
      <c r="D9" s="9" t="s">
        <v>182</v>
      </c>
      <c r="E9" s="9" t="s">
        <v>178</v>
      </c>
      <c r="F9" s="9" t="s">
        <v>173</v>
      </c>
      <c r="G9" s="10" t="s">
        <v>167</v>
      </c>
    </row>
    <row r="12" spans="1:7">
      <c r="B12" s="1" t="s">
        <v>185</v>
      </c>
      <c r="C12" s="1" t="s">
        <v>186</v>
      </c>
    </row>
    <row r="13" spans="1:7">
      <c r="B13" s="14" t="s">
        <v>187</v>
      </c>
      <c r="C13" t="s">
        <v>188</v>
      </c>
    </row>
    <row r="14" spans="1:7">
      <c r="B14" s="15" t="s">
        <v>189</v>
      </c>
      <c r="C14" t="s">
        <v>190</v>
      </c>
    </row>
    <row r="15" spans="1:7">
      <c r="B15" s="16" t="s">
        <v>191</v>
      </c>
      <c r="C15" t="s">
        <v>192</v>
      </c>
    </row>
    <row r="16" spans="1:7">
      <c r="B16" s="17" t="s">
        <v>193</v>
      </c>
      <c r="C16" t="s">
        <v>194</v>
      </c>
    </row>
  </sheetData>
  <mergeCells count="1">
    <mergeCell ref="A1:XF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67BDA-F893-4080-B0AD-748B5F03257E}">
  <dimension ref="A1:AE24"/>
  <sheetViews>
    <sheetView showGridLines="0" tabSelected="1" topLeftCell="A4" workbookViewId="0">
      <selection activeCell="Y8" sqref="Y8"/>
    </sheetView>
  </sheetViews>
  <sheetFormatPr defaultRowHeight="15"/>
  <cols>
    <col min="4" max="4" width="3.5703125" customWidth="1"/>
    <col min="8" max="8" width="3.28515625" customWidth="1"/>
    <col min="12" max="12" width="2.7109375" customWidth="1"/>
    <col min="16" max="16" width="2.42578125" customWidth="1"/>
  </cols>
  <sheetData>
    <row r="1" spans="1:31" s="30" customFormat="1" ht="42.75" customHeight="1">
      <c r="A1" s="30" t="s">
        <v>195</v>
      </c>
    </row>
    <row r="2" spans="1:31" s="31" customFormat="1" ht="22.5" customHeight="1">
      <c r="A2" s="31" t="s">
        <v>196</v>
      </c>
    </row>
    <row r="3" spans="1:31" s="32" customFormat="1" ht="36.75" customHeight="1"/>
    <row r="4" spans="1:31" s="21" customFormat="1" ht="45.75" customHeight="1">
      <c r="A4" s="33" t="s">
        <v>197</v>
      </c>
      <c r="B4" s="34"/>
      <c r="C4" s="35"/>
      <c r="D4" s="23"/>
      <c r="E4" s="33" t="s">
        <v>198</v>
      </c>
      <c r="F4" s="34"/>
      <c r="G4" s="35"/>
      <c r="H4" s="23"/>
      <c r="I4" s="33" t="s">
        <v>199</v>
      </c>
      <c r="J4" s="34"/>
      <c r="K4" s="35"/>
      <c r="L4" s="23"/>
      <c r="M4" s="33" t="s">
        <v>200</v>
      </c>
      <c r="N4" s="34"/>
      <c r="O4" s="35"/>
      <c r="P4" s="23"/>
      <c r="Q4" s="33" t="s">
        <v>201</v>
      </c>
      <c r="R4" s="34"/>
      <c r="S4" s="35"/>
      <c r="W4"/>
      <c r="X4"/>
      <c r="Y4"/>
      <c r="Z4"/>
      <c r="AA4"/>
      <c r="AB4"/>
      <c r="AC4"/>
      <c r="AD4"/>
      <c r="AE4"/>
    </row>
    <row r="5" spans="1:31" s="20" customFormat="1" ht="51" customHeight="1">
      <c r="A5" s="36">
        <f>COUNTIF('Risk Register'!A2:A101,"R???")</f>
        <v>15</v>
      </c>
      <c r="B5" s="37"/>
      <c r="C5" s="38"/>
      <c r="D5" s="19"/>
      <c r="E5" s="36">
        <f>COUNTIF('Risk Register'!P2:P101,"Critical")</f>
        <v>0</v>
      </c>
      <c r="F5" s="37"/>
      <c r="G5" s="38"/>
      <c r="I5" s="36">
        <f>COUNTIF('Risk Register'!P2:P101,"High")</f>
        <v>12</v>
      </c>
      <c r="J5" s="37"/>
      <c r="K5" s="38"/>
      <c r="M5" s="39">
        <f ca="1">COUNTIFS('Risk Register'!S2:S101,"&lt;"&amp;TODAY(),'Risk Register'!T2:T101,"&lt;&gt;Closed",'Risk Register'!A2:A101,"&lt;&gt;")</f>
        <v>0</v>
      </c>
      <c r="N5" s="40"/>
      <c r="O5" s="41"/>
      <c r="Q5" s="36">
        <f>ROUND(AVERAGE('Risk Register'!O2:O17),1)</f>
        <v>10.199999999999999</v>
      </c>
      <c r="R5" s="37"/>
      <c r="S5" s="38"/>
      <c r="W5" s="1" t="s">
        <v>185</v>
      </c>
      <c r="X5" s="1" t="s">
        <v>202</v>
      </c>
      <c r="Y5" s="1" t="s">
        <v>203</v>
      </c>
      <c r="Z5"/>
      <c r="AA5" s="1" t="s">
        <v>23</v>
      </c>
      <c r="AB5" s="1" t="s">
        <v>204</v>
      </c>
      <c r="AC5"/>
      <c r="AD5"/>
      <c r="AE5"/>
    </row>
    <row r="6" spans="1:31">
      <c r="W6" t="s">
        <v>193</v>
      </c>
      <c r="X6">
        <f>COUNTIF('Risk Register'!J2:J101,W6)</f>
        <v>2</v>
      </c>
      <c r="Y6">
        <f>COUNTIF('Risk Register'!P2:P101,W6)</f>
        <v>0</v>
      </c>
      <c r="AA6" t="s">
        <v>63</v>
      </c>
      <c r="AB6">
        <f>COUNTIF('Risk Register'!T2:T101,AA6)</f>
        <v>2</v>
      </c>
    </row>
    <row r="7" spans="1:31">
      <c r="W7" t="s">
        <v>191</v>
      </c>
      <c r="X7">
        <f>COUNTIF('Risk Register'!J3:J102,W7)</f>
        <v>11</v>
      </c>
      <c r="Y7">
        <f>COUNTIF('Risk Register'!P3:P102,W7)</f>
        <v>12</v>
      </c>
      <c r="AA7" t="s">
        <v>35</v>
      </c>
      <c r="AB7">
        <f>COUNTIF('Risk Register'!T3:T102,AA7)</f>
        <v>9</v>
      </c>
    </row>
    <row r="8" spans="1:31">
      <c r="W8" t="s">
        <v>189</v>
      </c>
      <c r="X8">
        <f>COUNTIF('Risk Register'!J4:J103,W8)</f>
        <v>2</v>
      </c>
      <c r="Y8">
        <f>COUNTIF('Risk Register'!P4:P103,W8)</f>
        <v>3</v>
      </c>
      <c r="AA8" t="s">
        <v>100</v>
      </c>
      <c r="AB8">
        <f>COUNTIF('Risk Register'!T4:T103,AA8)</f>
        <v>4</v>
      </c>
    </row>
    <row r="9" spans="1:31">
      <c r="W9" t="s">
        <v>187</v>
      </c>
      <c r="X9">
        <f>COUNTIF('Risk Register'!J6:J104,W9)</f>
        <v>0</v>
      </c>
      <c r="Y9">
        <f>COUNTIF('Risk Register'!P6:P104,W9)</f>
        <v>0</v>
      </c>
      <c r="AA9" t="s">
        <v>205</v>
      </c>
      <c r="AB9">
        <f>COUNTIF('Risk Register'!T6:T104,AA9)</f>
        <v>0</v>
      </c>
    </row>
    <row r="12" spans="1:31">
      <c r="W12" s="1" t="s">
        <v>5</v>
      </c>
      <c r="X12" s="1" t="s">
        <v>204</v>
      </c>
    </row>
    <row r="13" spans="1:31">
      <c r="W13" t="s">
        <v>25</v>
      </c>
      <c r="X13">
        <f>COUNTIF('Risk Register'!$B$2:$B$101,W13)</f>
        <v>3</v>
      </c>
    </row>
    <row r="14" spans="1:31">
      <c r="W14" t="s">
        <v>65</v>
      </c>
      <c r="X14">
        <f>COUNTIF('Risk Register'!$B$2:$B$101,W14)</f>
        <v>1</v>
      </c>
    </row>
    <row r="15" spans="1:31">
      <c r="W15" t="s">
        <v>74</v>
      </c>
      <c r="X15">
        <f>COUNTIF('Risk Register'!$B$2:$B$101,W15)</f>
        <v>1</v>
      </c>
    </row>
    <row r="16" spans="1:31">
      <c r="W16" t="s">
        <v>83</v>
      </c>
      <c r="X16">
        <f>COUNTIF('Risk Register'!$B$2:$B$101,W16)</f>
        <v>1</v>
      </c>
    </row>
    <row r="17" spans="23:24">
      <c r="W17" t="s">
        <v>127</v>
      </c>
      <c r="X17">
        <f>COUNTIF('Risk Register'!$B$2:$B$101,W17)</f>
        <v>1</v>
      </c>
    </row>
    <row r="18" spans="23:24">
      <c r="W18" t="s">
        <v>53</v>
      </c>
      <c r="X18">
        <f>COUNTIF('Risk Register'!$B$2:$B$101,W18)</f>
        <v>2</v>
      </c>
    </row>
    <row r="19" spans="23:24">
      <c r="W19" t="s">
        <v>92</v>
      </c>
      <c r="X19">
        <f>COUNTIF('Risk Register'!$B$2:$B$101,W19)</f>
        <v>1</v>
      </c>
    </row>
    <row r="20" spans="23:24">
      <c r="W20" t="s">
        <v>102</v>
      </c>
      <c r="X20">
        <f>COUNTIF('Risk Register'!$B$2:$B$101,W20)</f>
        <v>1</v>
      </c>
    </row>
    <row r="21" spans="23:24">
      <c r="W21" t="s">
        <v>118</v>
      </c>
      <c r="X21">
        <f>COUNTIF('Risk Register'!$B$2:$B$101,W21)</f>
        <v>1</v>
      </c>
    </row>
    <row r="22" spans="23:24">
      <c r="W22" t="s">
        <v>134</v>
      </c>
      <c r="X22">
        <f>COUNTIF('Risk Register'!$B$2:$B$101,W22)</f>
        <v>1</v>
      </c>
    </row>
    <row r="23" spans="23:24">
      <c r="W23" t="s">
        <v>143</v>
      </c>
      <c r="X23">
        <f>COUNTIF('Risk Register'!$B$2:$B$101,W23)</f>
        <v>1</v>
      </c>
    </row>
    <row r="24" spans="23:24">
      <c r="W24" t="s">
        <v>151</v>
      </c>
      <c r="X24">
        <f>COUNTIF('Risk Register'!$B$2:$B$101,W24)</f>
        <v>1</v>
      </c>
    </row>
  </sheetData>
  <mergeCells count="13">
    <mergeCell ref="A1:XFD1"/>
    <mergeCell ref="A2:XFD2"/>
    <mergeCell ref="A3:XFD3"/>
    <mergeCell ref="A4:C4"/>
    <mergeCell ref="A5:C5"/>
    <mergeCell ref="E4:G4"/>
    <mergeCell ref="E5:G5"/>
    <mergeCell ref="I4:K4"/>
    <mergeCell ref="I5:K5"/>
    <mergeCell ref="M4:O4"/>
    <mergeCell ref="M5:O5"/>
    <mergeCell ref="Q4:S4"/>
    <mergeCell ref="Q5:S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00312-A521-4E34-9FFD-8724FF183D0C}">
  <dimension ref="A1:L41"/>
  <sheetViews>
    <sheetView workbookViewId="0">
      <selection activeCell="A30" sqref="A30:XFD30"/>
    </sheetView>
  </sheetViews>
  <sheetFormatPr defaultRowHeight="15"/>
  <cols>
    <col min="1" max="1" width="12.28515625" customWidth="1"/>
  </cols>
  <sheetData>
    <row r="1" spans="1:12" s="49" customFormat="1" ht="47.25" customHeight="1">
      <c r="A1" s="48" t="s">
        <v>206</v>
      </c>
      <c r="B1" s="48"/>
      <c r="C1" s="48"/>
    </row>
    <row r="2" spans="1:12" s="32" customFormat="1" ht="33" customHeight="1"/>
    <row r="3" spans="1:12" s="24" customFormat="1" ht="33.75" customHeight="1">
      <c r="A3" s="25" t="s">
        <v>207</v>
      </c>
      <c r="B3" s="50" t="s">
        <v>208</v>
      </c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2" ht="33.75" customHeight="1">
      <c r="A4" s="28" t="s">
        <v>209</v>
      </c>
      <c r="B4" s="50" t="s">
        <v>210</v>
      </c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2" ht="27" customHeight="1">
      <c r="A5" s="28" t="s">
        <v>211</v>
      </c>
      <c r="B5" s="50" t="s">
        <v>212</v>
      </c>
      <c r="C5" s="50"/>
      <c r="D5" s="50"/>
      <c r="E5" s="50"/>
    </row>
    <row r="6" spans="1:12" s="32" customFormat="1" ht="33" customHeight="1"/>
    <row r="7" spans="1:12" s="46" customFormat="1" ht="24" customHeight="1">
      <c r="A7" s="46" t="s">
        <v>213</v>
      </c>
    </row>
    <row r="8" spans="1:12">
      <c r="A8" t="s">
        <v>186</v>
      </c>
      <c r="B8" t="s">
        <v>185</v>
      </c>
      <c r="C8" t="s">
        <v>214</v>
      </c>
    </row>
    <row r="9" spans="1:12">
      <c r="A9">
        <v>1</v>
      </c>
      <c r="B9" t="s">
        <v>215</v>
      </c>
      <c r="C9" t="s">
        <v>216</v>
      </c>
    </row>
    <row r="10" spans="1:12">
      <c r="A10">
        <v>2</v>
      </c>
      <c r="B10" t="s">
        <v>217</v>
      </c>
      <c r="C10" t="s">
        <v>218</v>
      </c>
    </row>
    <row r="11" spans="1:12">
      <c r="A11">
        <v>3</v>
      </c>
      <c r="B11" t="s">
        <v>219</v>
      </c>
      <c r="C11" t="s">
        <v>220</v>
      </c>
    </row>
    <row r="12" spans="1:12">
      <c r="A12">
        <v>4</v>
      </c>
      <c r="B12" t="s">
        <v>221</v>
      </c>
      <c r="C12" t="s">
        <v>222</v>
      </c>
    </row>
    <row r="13" spans="1:12">
      <c r="A13">
        <v>5</v>
      </c>
      <c r="B13" t="s">
        <v>223</v>
      </c>
      <c r="C13" t="s">
        <v>224</v>
      </c>
    </row>
    <row r="14" spans="1:12" s="32" customFormat="1" ht="32.25" customHeight="1"/>
    <row r="15" spans="1:12" s="46" customFormat="1" ht="24" customHeight="1">
      <c r="A15" s="46" t="s">
        <v>225</v>
      </c>
    </row>
    <row r="16" spans="1:12">
      <c r="A16" t="s">
        <v>186</v>
      </c>
      <c r="B16" t="s">
        <v>185</v>
      </c>
      <c r="C16" t="s">
        <v>214</v>
      </c>
    </row>
    <row r="17" spans="1:10">
      <c r="A17" s="26">
        <v>1</v>
      </c>
      <c r="B17" t="s">
        <v>226</v>
      </c>
      <c r="C17" t="s">
        <v>227</v>
      </c>
    </row>
    <row r="18" spans="1:10">
      <c r="A18" s="26">
        <v>2</v>
      </c>
      <c r="B18" t="s">
        <v>228</v>
      </c>
      <c r="C18" t="s">
        <v>229</v>
      </c>
    </row>
    <row r="19" spans="1:10">
      <c r="A19" s="26">
        <v>3</v>
      </c>
      <c r="B19" t="s">
        <v>230</v>
      </c>
      <c r="C19" t="s">
        <v>231</v>
      </c>
    </row>
    <row r="20" spans="1:10">
      <c r="A20" s="26">
        <v>4</v>
      </c>
      <c r="B20" t="s">
        <v>232</v>
      </c>
      <c r="C20" t="s">
        <v>233</v>
      </c>
    </row>
    <row r="21" spans="1:10" s="25" customFormat="1" ht="31.5" customHeight="1">
      <c r="A21" s="26">
        <v>5</v>
      </c>
      <c r="B21" s="25" t="s">
        <v>234</v>
      </c>
      <c r="C21" s="51" t="s">
        <v>235</v>
      </c>
      <c r="D21" s="51"/>
      <c r="E21" s="51"/>
      <c r="F21" s="51"/>
      <c r="G21" s="51"/>
      <c r="H21" s="51"/>
      <c r="I21" s="51"/>
      <c r="J21" s="51"/>
    </row>
    <row r="22" spans="1:10" s="47" customFormat="1" ht="30" customHeight="1"/>
    <row r="23" spans="1:10" s="46" customFormat="1" ht="23.25" customHeight="1">
      <c r="A23" s="46" t="s">
        <v>236</v>
      </c>
    </row>
    <row r="24" spans="1:10">
      <c r="A24" t="s">
        <v>237</v>
      </c>
      <c r="B24" t="s">
        <v>238</v>
      </c>
    </row>
    <row r="25" spans="1:10">
      <c r="A25" t="s">
        <v>188</v>
      </c>
      <c r="B25" t="s">
        <v>187</v>
      </c>
    </row>
    <row r="26" spans="1:10">
      <c r="A26" t="s">
        <v>190</v>
      </c>
      <c r="B26" t="s">
        <v>189</v>
      </c>
    </row>
    <row r="27" spans="1:10">
      <c r="A27" t="s">
        <v>192</v>
      </c>
      <c r="B27" t="s">
        <v>191</v>
      </c>
    </row>
    <row r="28" spans="1:10">
      <c r="A28" t="s">
        <v>194</v>
      </c>
      <c r="B28" t="s">
        <v>193</v>
      </c>
    </row>
    <row r="29" spans="1:10" s="32" customFormat="1" ht="29.25" customHeight="1"/>
    <row r="30" spans="1:10" s="46" customFormat="1" ht="24" customHeight="1">
      <c r="A30" s="46" t="s">
        <v>239</v>
      </c>
    </row>
    <row r="31" spans="1:10">
      <c r="A31" t="s">
        <v>187</v>
      </c>
      <c r="B31" t="s">
        <v>240</v>
      </c>
    </row>
    <row r="32" spans="1:10">
      <c r="A32" t="s">
        <v>189</v>
      </c>
      <c r="B32" t="s">
        <v>241</v>
      </c>
    </row>
    <row r="33" spans="1:2">
      <c r="A33" t="s">
        <v>191</v>
      </c>
      <c r="B33" t="s">
        <v>242</v>
      </c>
    </row>
    <row r="34" spans="1:2">
      <c r="A34" t="s">
        <v>193</v>
      </c>
      <c r="B34" t="s">
        <v>243</v>
      </c>
    </row>
    <row r="35" spans="1:2" s="32" customFormat="1" ht="24.75" customHeight="1"/>
    <row r="36" spans="1:2" s="46" customFormat="1" ht="24.75" customHeight="1">
      <c r="A36" s="46" t="s">
        <v>244</v>
      </c>
    </row>
    <row r="37" spans="1:2" s="18" customFormat="1">
      <c r="A37" s="18" t="s">
        <v>245</v>
      </c>
      <c r="B37" s="18" t="s">
        <v>246</v>
      </c>
    </row>
    <row r="38" spans="1:2">
      <c r="A38" t="s">
        <v>247</v>
      </c>
      <c r="B38" t="s">
        <v>248</v>
      </c>
    </row>
    <row r="39" spans="1:2">
      <c r="A39" t="s">
        <v>249</v>
      </c>
      <c r="B39" t="s">
        <v>250</v>
      </c>
    </row>
    <row r="40" spans="1:2">
      <c r="A40" t="s">
        <v>251</v>
      </c>
      <c r="B40" t="s">
        <v>252</v>
      </c>
    </row>
    <row r="41" spans="1:2">
      <c r="A41" t="s">
        <v>253</v>
      </c>
      <c r="B41" t="s">
        <v>254</v>
      </c>
    </row>
  </sheetData>
  <mergeCells count="16">
    <mergeCell ref="A35:XFD35"/>
    <mergeCell ref="A36:XFD36"/>
    <mergeCell ref="A23:XFD23"/>
    <mergeCell ref="A29:XFD29"/>
    <mergeCell ref="A30:XFD30"/>
    <mergeCell ref="A15:XFD15"/>
    <mergeCell ref="A22:XFD22"/>
    <mergeCell ref="A2:XFD2"/>
    <mergeCell ref="A1:XFD1"/>
    <mergeCell ref="A7:XFD7"/>
    <mergeCell ref="A6:XFD6"/>
    <mergeCell ref="A14:XFD14"/>
    <mergeCell ref="B4:L4"/>
    <mergeCell ref="B3:L3"/>
    <mergeCell ref="B5:E5"/>
    <mergeCell ref="C21:J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2026-08-14T00:01:29Z</dcterms:created>
  <dcterms:modified xsi:type="dcterms:W3CDTF">2026-08-20T07:10:18Z</dcterms:modified>
  <cp:category/>
  <cp:contentStatus/>
</cp:coreProperties>
</file>